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51B0A892-64A4-9848-B8B5-ACF6FA955D57}" xr6:coauthVersionLast="47" xr6:coauthVersionMax="47" xr10:uidLastSave="{00000000-0000-0000-0000-000000000000}"/>
  <bookViews>
    <workbookView xWindow="4640" yWindow="680" windowWidth="24760" windowHeight="1844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2" l="1"/>
  <c r="Q36" i="2" s="1"/>
  <c r="E71" i="2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M48" i="2"/>
  <c r="N48" i="2" s="1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7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D16" i="17"/>
  <c r="D17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9" i="17"/>
  <c r="D19" i="17" s="1"/>
  <c r="F18" i="17"/>
  <c r="D18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9" i="17" l="1"/>
  <c r="L14" i="17"/>
  <c r="N14" i="17" s="1"/>
  <c r="L24" i="17"/>
  <c r="L25" i="17"/>
  <c r="L5" i="17"/>
  <c r="L18" i="17"/>
  <c r="L4" i="17"/>
  <c r="L21" i="17"/>
  <c r="L16" i="17"/>
  <c r="N16" i="17" s="1"/>
  <c r="L20" i="17"/>
  <c r="L17" i="17"/>
  <c r="N17" i="17" s="1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<sst xmlns="http://schemas.openxmlformats.org/spreadsheetml/2006/main" count="972" uniqueCount="357">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</sst>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2" fillId="2" borderId="11" xfId="0" applyFont="1" applyFill="1" applyBorder="1"/>
    <xf numFmtId="0" fontId="2" fillId="2" borderId="11" xfId="0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2" fontId="2" fillId="2" borderId="11" xfId="0" applyNumberFormat="1" applyFont="1" applyFill="1" applyBorder="1" applyAlignment="1">
      <alignment horizontal="center"/>
    </xf>
    <xf numFmtId="14" fontId="2" fillId="2" borderId="11" xfId="0" applyNumberFormat="1" applyFont="1" applyFill="1" applyBorder="1" applyAlignment="1">
      <alignment horizontal="center"/>
    </xf>
    <xf numFmtId="168" fontId="20" fillId="2" borderId="11" xfId="0" applyNumberFormat="1" applyFont="1" applyFill="1" applyBorder="1" applyAlignment="1">
      <alignment horizontal="center"/>
    </xf>
    <xf numFmtId="165" fontId="2" fillId="2" borderId="11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400.05</v>
      </c>
      <c r="M6" s="177">
        <f>(L6+H6)*1.3228</f>
        <v>568.87013999999999</v>
      </c>
      <c r="N6" s="167">
        <f>(E6*(M6+H6))</f>
        <v>191638.4448</v>
      </c>
      <c r="O6" s="178">
        <v>5.7</v>
      </c>
      <c r="P6" s="167">
        <f t="shared" ref="P6:P16" si="1">M6*O6</f>
        <v>3242.5597980000002</v>
      </c>
      <c r="Q6" s="167">
        <f t="shared" ref="Q6:Q16" si="2">P6*E6</f>
        <v>1037619.1353600001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400.05</v>
      </c>
      <c r="M7" s="177">
        <f>(L7+H7)*1.3228</f>
        <v>568.87013999999999</v>
      </c>
      <c r="N7" s="167">
        <f>(E7*(M7+H7))</f>
        <v>191638.4448</v>
      </c>
      <c r="O7" s="178">
        <v>5.7</v>
      </c>
      <c r="P7" s="167">
        <f t="shared" si="1"/>
        <v>3242.5597980000002</v>
      </c>
      <c r="Q7" s="167">
        <f t="shared" si="2"/>
        <v>1037619.1353600001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400.05</v>
      </c>
      <c r="M8" s="177">
        <f>(L8+H8)*1.3228</f>
        <v>568.87013999999999</v>
      </c>
      <c r="N8" s="167">
        <f>(E8*(M8+H8))</f>
        <v>191638.4448</v>
      </c>
      <c r="O8" s="178">
        <v>5.7</v>
      </c>
      <c r="P8" s="167">
        <f t="shared" si="1"/>
        <v>3242.5597980000002</v>
      </c>
      <c r="Q8" s="167">
        <f t="shared" si="2"/>
        <v>1037619.1353600001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400.05</v>
      </c>
      <c r="M9" s="177">
        <f>(L9+H9)*1.3228</f>
        <v>568.87013999999999</v>
      </c>
      <c r="N9" s="167">
        <f>(E9*(M9+H9))</f>
        <v>191638.4448</v>
      </c>
      <c r="O9" s="178">
        <v>5.7</v>
      </c>
      <c r="P9" s="167">
        <f t="shared" si="1"/>
        <v>3242.5597980000002</v>
      </c>
      <c r="Q9" s="167">
        <f t="shared" si="2"/>
        <v>1037619.1353600001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378.75</v>
      </c>
      <c r="M10" s="177">
        <f>(L10+H10)*1.3228</f>
        <v>540.69449999999995</v>
      </c>
      <c r="N10" s="167">
        <f>(E10*(M10+H10))</f>
        <v>182622.24</v>
      </c>
      <c r="O10" s="178">
        <v>5.7</v>
      </c>
      <c r="P10" s="167">
        <f t="shared" si="1"/>
        <v>3081.9586499999996</v>
      </c>
      <c r="Q10" s="167">
        <f t="shared" si="2"/>
        <v>986226.76799999992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400.05</v>
      </c>
      <c r="M11" s="177">
        <f t="shared" ref="M11:M16" si="4">(L11+H11)*1.3228</f>
        <v>566.22454000000005</v>
      </c>
      <c r="N11" s="167">
        <f t="shared" ref="N11:N16" si="5">(E11*(M11+H11))</f>
        <v>190151.85280000002</v>
      </c>
      <c r="O11" s="178">
        <v>5.7</v>
      </c>
      <c r="P11" s="167">
        <f t="shared" si="1"/>
        <v>3227.4798780000006</v>
      </c>
      <c r="Q11" s="167">
        <f t="shared" si="2"/>
        <v>1032793.5609600001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400.05</v>
      </c>
      <c r="M12" s="177">
        <f t="shared" si="4"/>
        <v>566.22454000000005</v>
      </c>
      <c r="N12" s="167">
        <f t="shared" si="5"/>
        <v>190151.85280000002</v>
      </c>
      <c r="O12" s="178">
        <v>5.7</v>
      </c>
      <c r="P12" s="167">
        <f t="shared" si="1"/>
        <v>3227.4798780000006</v>
      </c>
      <c r="Q12" s="167">
        <f t="shared" si="2"/>
        <v>1032793.5609600001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378.75</v>
      </c>
      <c r="M13" s="177">
        <f t="shared" si="4"/>
        <v>538.0489</v>
      </c>
      <c r="N13" s="167">
        <f t="shared" si="5"/>
        <v>181135.64799999999</v>
      </c>
      <c r="O13" s="178">
        <v>5.7</v>
      </c>
      <c r="P13" s="167">
        <f t="shared" si="1"/>
        <v>3066.8787299999999</v>
      </c>
      <c r="Q13" s="167">
        <f t="shared" si="2"/>
        <v>981401.1936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363.15</v>
      </c>
      <c r="M14" s="177">
        <f t="shared" si="4"/>
        <v>517.41321999999991</v>
      </c>
      <c r="N14" s="167">
        <f t="shared" si="5"/>
        <v>174532.23039999997</v>
      </c>
      <c r="O14" s="178">
        <v>5.7</v>
      </c>
      <c r="P14" s="167">
        <f t="shared" si="1"/>
        <v>2949.2553539999994</v>
      </c>
      <c r="Q14" s="167">
        <f t="shared" si="2"/>
        <v>943761.71327999979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378.75</v>
      </c>
      <c r="M15" s="177">
        <f t="shared" si="4"/>
        <v>471.90890000000002</v>
      </c>
      <c r="N15" s="167">
        <f t="shared" si="5"/>
        <v>143970.848</v>
      </c>
      <c r="O15" s="178">
        <v>5.7</v>
      </c>
      <c r="P15" s="167">
        <f t="shared" si="1"/>
        <v>2689.8807300000003</v>
      </c>
      <c r="Q15" s="167">
        <f t="shared" si="2"/>
        <v>860761.83360000013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400.05</v>
      </c>
      <c r="M16" s="177">
        <f t="shared" si="4"/>
        <v>599.29453999999998</v>
      </c>
      <c r="N16" s="167">
        <f t="shared" si="5"/>
        <v>208734.25279999999</v>
      </c>
      <c r="O16" s="178">
        <v>5.7</v>
      </c>
      <c r="P16" s="167">
        <f t="shared" si="1"/>
        <v>3415.9788779999999</v>
      </c>
      <c r="Q16" s="167">
        <f t="shared" si="2"/>
        <v>1093113.2409600001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561.52069285714288</v>
      </c>
      <c r="N19" s="183">
        <f>SUM(N5:N18)</f>
        <v>2515612.7039999999</v>
      </c>
      <c r="O19" s="184"/>
      <c r="P19" s="185">
        <f>Q19/E19</f>
        <v>3081.3750921428573</v>
      </c>
      <c r="Q19" s="183">
        <f>SUM(Q5:Q18)</f>
        <v>13804560.412800001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400.05</v>
      </c>
      <c r="K25" s="163"/>
      <c r="L25" s="197">
        <v>45973</v>
      </c>
      <c r="M25" s="163"/>
      <c r="N25" s="198">
        <f>(H25-I25)*1.3228*D25</f>
        <v>-1467273.368673</v>
      </c>
      <c r="O25" s="178">
        <f>O5</f>
        <v>5.7</v>
      </c>
      <c r="Q25" s="198">
        <f>N25*O25</f>
        <v>-8363458.2014361005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400.05</v>
      </c>
      <c r="K26" s="163"/>
      <c r="L26" s="197">
        <v>45973</v>
      </c>
      <c r="M26" s="163"/>
      <c r="N26" s="198">
        <f>(H26-I26)*1.3228*D26</f>
        <v>-535388.45157000003</v>
      </c>
      <c r="O26" s="178">
        <f>O6</f>
        <v>5.7</v>
      </c>
      <c r="Q26" s="198">
        <f t="shared" ref="Q26:Q27" si="6">N26*O26</f>
        <v>-3051714.1739490004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400.05</v>
      </c>
      <c r="K27" s="163"/>
      <c r="L27" s="197">
        <v>45980</v>
      </c>
      <c r="M27" s="163"/>
      <c r="N27" s="198">
        <f>(H27-I27)*1.3228*D27</f>
        <v>-706979.76589799998</v>
      </c>
      <c r="O27" s="178">
        <f>O7</f>
        <v>5.7</v>
      </c>
      <c r="Q27" s="198">
        <f t="shared" si="6"/>
        <v>-4029784.6656185999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-2709641.586141</v>
      </c>
      <c r="O28" s="201"/>
      <c r="P28" s="201"/>
      <c r="Q28" s="202">
        <f>SUM(Q25:Q27)</f>
        <v>-15444957.041003702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322.5</v>
      </c>
      <c r="K57" s="178">
        <f>O8</f>
        <v>5.7</v>
      </c>
      <c r="L57" s="197">
        <v>46345</v>
      </c>
      <c r="M57" s="198"/>
      <c r="N57" s="198">
        <f>(H57-I57)*1.3228*D57</f>
        <v>-73240.195139999967</v>
      </c>
      <c r="O57" s="166">
        <f>O25</f>
        <v>5.7</v>
      </c>
      <c r="Q57" s="198">
        <f>N57*O57</f>
        <v>-417469.11229799985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322.5</v>
      </c>
      <c r="K58" s="178">
        <f>O9</f>
        <v>5.7</v>
      </c>
      <c r="L58" s="197">
        <v>46345</v>
      </c>
      <c r="M58" s="198"/>
      <c r="N58" s="198">
        <f>(H58-I58)*1.3228*D58</f>
        <v>-300.01104000006819</v>
      </c>
      <c r="O58" s="166">
        <f>O26</f>
        <v>5.7</v>
      </c>
      <c r="Q58" s="198">
        <f>N58*O58</f>
        <v>-1710.0629280003886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-73540.206180000037</v>
      </c>
      <c r="O59" s="201"/>
      <c r="P59" s="201"/>
      <c r="Q59" s="202">
        <f>SUM(Q56:Q58)</f>
        <v>-419179.17522600025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tabSelected="1" zoomScale="80" zoomScaleNormal="80" workbookViewId="0">
      <pane ySplit="1" topLeftCell="A35" activePane="bottomLeft" state="frozen"/>
      <selection pane="bottomLeft" activeCell="G54" sqref="G54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330</v>
      </c>
      <c r="M48" s="155">
        <f>(L48+H48)*1.3228</f>
        <v>476.20799999999997</v>
      </c>
      <c r="N48" s="3">
        <f t="shared" ref="N48:N62" si="4">M48*E48</f>
        <v>152386.56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330</v>
      </c>
      <c r="M49" s="155">
        <f>(L49+H49)*1.3228</f>
        <v>476.20799999999997</v>
      </c>
      <c r="N49" s="3">
        <f t="shared" si="4"/>
        <v>152386.56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330</v>
      </c>
      <c r="M51" s="155">
        <f>(L51+H51)*1.3228</f>
        <v>476.20799999999997</v>
      </c>
      <c r="N51" s="3">
        <f t="shared" si="4"/>
        <v>152386.56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325</v>
      </c>
      <c r="M57" s="155">
        <f t="shared" ref="M57:M62" si="6">(L57+H57)*1.3228</f>
        <v>466.94839999999999</v>
      </c>
      <c r="N57" s="3">
        <f t="shared" si="4"/>
        <v>149423.48800000001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/>
      <c r="M68" s="155"/>
      <c r="N68" s="3"/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45964</v>
      </c>
    </row>
    <row r="2" spans="1:4" x14ac:dyDescent="0.2">
      <c r="A2" s="158">
        <v>46021</v>
      </c>
      <c r="B2" s="155">
        <v>400.05</v>
      </c>
      <c r="C2" s="155">
        <f t="shared" ref="C2:C11" si="0">B2*1.3228</f>
        <v>529.18614000000002</v>
      </c>
    </row>
    <row r="3" spans="1:4" x14ac:dyDescent="0.2">
      <c r="A3" s="158">
        <v>46112</v>
      </c>
      <c r="B3" s="155">
        <v>378.75</v>
      </c>
      <c r="C3" s="155">
        <f t="shared" si="0"/>
        <v>501.01049999999998</v>
      </c>
    </row>
    <row r="4" spans="1:4" x14ac:dyDescent="0.2">
      <c r="A4" s="158">
        <v>46173</v>
      </c>
      <c r="B4" s="155">
        <v>363.15</v>
      </c>
      <c r="C4" s="155">
        <f t="shared" si="0"/>
        <v>480.37481999999994</v>
      </c>
    </row>
    <row r="5" spans="1:4" x14ac:dyDescent="0.2">
      <c r="A5" s="158">
        <v>46231</v>
      </c>
      <c r="B5" s="155">
        <v>348.25</v>
      </c>
      <c r="C5" s="155">
        <f t="shared" si="0"/>
        <v>460.6651</v>
      </c>
    </row>
    <row r="6" spans="1:4" x14ac:dyDescent="0.2">
      <c r="A6" s="158">
        <v>46295</v>
      </c>
      <c r="B6" s="155">
        <v>334</v>
      </c>
      <c r="C6" s="155">
        <f t="shared" si="0"/>
        <v>441.8152</v>
      </c>
    </row>
    <row r="7" spans="1:4" x14ac:dyDescent="0.2">
      <c r="A7" s="158">
        <v>46386</v>
      </c>
      <c r="B7" s="155">
        <v>322.5</v>
      </c>
      <c r="C7" s="155">
        <f t="shared" si="0"/>
        <v>426.60300000000001</v>
      </c>
    </row>
    <row r="8" spans="1:4" x14ac:dyDescent="0.2">
      <c r="A8" s="158">
        <v>46477</v>
      </c>
      <c r="B8" s="155">
        <v>311.8</v>
      </c>
      <c r="C8" s="155">
        <f t="shared" si="0"/>
        <v>412.44904000000002</v>
      </c>
    </row>
    <row r="9" spans="1:4" x14ac:dyDescent="0.2">
      <c r="A9" s="158">
        <v>46538</v>
      </c>
      <c r="B9" s="155">
        <v>306.5</v>
      </c>
      <c r="C9" s="155">
        <f t="shared" si="0"/>
        <v>405.43819999999999</v>
      </c>
    </row>
    <row r="10" spans="1:4" x14ac:dyDescent="0.2">
      <c r="A10" s="158">
        <v>46596</v>
      </c>
      <c r="B10" s="155">
        <v>301.35000000000002</v>
      </c>
      <c r="C10" s="155">
        <f t="shared" si="0"/>
        <v>398.62578000000002</v>
      </c>
    </row>
    <row r="11" spans="1:4" x14ac:dyDescent="0.2">
      <c r="A11" s="158">
        <v>46660</v>
      </c>
      <c r="B11" s="155">
        <v>295.95</v>
      </c>
      <c r="C11" s="155">
        <f t="shared" si="0"/>
        <v>391.48265999999995</v>
      </c>
    </row>
    <row r="12" spans="1:4" x14ac:dyDescent="0.2">
      <c r="A12" s="158">
        <v>46751</v>
      </c>
      <c r="B12" s="155">
        <v>290.35000000000002</v>
      </c>
      <c r="C12" s="155">
        <f>B12*1.3228</f>
        <v>384.07498000000004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workbookViewId="0">
      <pane ySplit="1" topLeftCell="A2" activePane="bottomLeft" state="frozen"/>
      <selection pane="bottomLeft" activeCell="L18" sqref="L18:L28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1" t="s">
        <v>295</v>
      </c>
      <c r="B15" s="1" t="s">
        <v>325</v>
      </c>
      <c r="C15" s="2">
        <f>C17</f>
        <v>47616</v>
      </c>
      <c r="D15" s="213">
        <f t="shared" ref="D15" si="4">283.5*F15</f>
        <v>1417.5</v>
      </c>
      <c r="E15" s="213"/>
      <c r="F15" s="155">
        <v>5</v>
      </c>
      <c r="G15" s="155">
        <f>G17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ref="N15:N16" si="6">IF(I15="",L15*M15,(D15*(G15*I15-H15*M15)*1.3328))</f>
        <v>-592583.79378114012</v>
      </c>
    </row>
    <row r="16" spans="1:14" x14ac:dyDescent="0.2">
      <c r="A16" s="1" t="s">
        <v>295</v>
      </c>
      <c r="B16" s="1" t="s">
        <v>325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v>434</v>
      </c>
      <c r="I16" s="228"/>
      <c r="J16" s="162">
        <v>45973</v>
      </c>
      <c r="K16" s="162">
        <v>45953</v>
      </c>
      <c r="L16" s="215">
        <f t="shared" si="2"/>
        <v>-1692624.7863</v>
      </c>
      <c r="M16" s="160">
        <v>5.3811</v>
      </c>
      <c r="N16" s="215">
        <f t="shared" si="6"/>
        <v>-9108183.2375589311</v>
      </c>
    </row>
    <row r="17" spans="1:14" x14ac:dyDescent="0.2">
      <c r="A17" s="209" t="s">
        <v>295</v>
      </c>
      <c r="B17" s="209" t="s">
        <v>325</v>
      </c>
      <c r="C17" s="208">
        <v>47616</v>
      </c>
      <c r="D17" s="216">
        <f>283.5*F17</f>
        <v>1587.6</v>
      </c>
      <c r="E17" s="216"/>
      <c r="F17" s="217">
        <f>10.6-5</f>
        <v>5.6</v>
      </c>
      <c r="G17" s="217">
        <v>222.2</v>
      </c>
      <c r="H17" s="217">
        <v>434</v>
      </c>
      <c r="I17" s="228"/>
      <c r="J17" s="219">
        <v>45980</v>
      </c>
      <c r="K17" s="219">
        <v>45953</v>
      </c>
      <c r="L17" s="220">
        <f>D17*(G17-H17)*1.3228</f>
        <v>-444796.36790399998</v>
      </c>
      <c r="M17" s="218">
        <v>5.3811</v>
      </c>
      <c r="N17" s="220">
        <f>IF(I17="",L17*M17,(D17*(G17*I17-H17*M17)*1.3328))</f>
        <v>-2393493.7353282142</v>
      </c>
    </row>
    <row r="18" spans="1:14" x14ac:dyDescent="0.2">
      <c r="A18" s="221" t="s">
        <v>296</v>
      </c>
      <c r="B18" s="221" t="s">
        <v>330</v>
      </c>
      <c r="C18" s="222">
        <v>507931308</v>
      </c>
      <c r="D18" s="223">
        <f t="shared" si="0"/>
        <v>1984.5</v>
      </c>
      <c r="E18" s="223"/>
      <c r="F18" s="224">
        <f>262500/37500</f>
        <v>7</v>
      </c>
      <c r="G18" s="224">
        <v>196.1</v>
      </c>
      <c r="H18" s="224">
        <f>futuros!B2</f>
        <v>400.05</v>
      </c>
      <c r="I18" s="222"/>
      <c r="J18" s="225">
        <v>45973</v>
      </c>
      <c r="K18" s="225"/>
      <c r="L18" s="226">
        <f t="shared" si="2"/>
        <v>-535388.45157000003</v>
      </c>
      <c r="M18" s="227"/>
      <c r="N18" s="226"/>
    </row>
    <row r="19" spans="1:14" x14ac:dyDescent="0.2">
      <c r="A19" s="209" t="s">
        <v>296</v>
      </c>
      <c r="B19" s="209" t="s">
        <v>329</v>
      </c>
      <c r="C19" s="208">
        <v>29487615</v>
      </c>
      <c r="D19" s="216">
        <f t="shared" si="0"/>
        <v>1984.5</v>
      </c>
      <c r="E19" s="216" t="s">
        <v>344</v>
      </c>
      <c r="F19" s="217">
        <f>262500/37500</f>
        <v>7</v>
      </c>
      <c r="G19" s="217">
        <v>330</v>
      </c>
      <c r="H19" s="217">
        <f>futuros!B2</f>
        <v>400.05</v>
      </c>
      <c r="I19" s="208"/>
      <c r="J19" s="219">
        <v>45973</v>
      </c>
      <c r="K19" s="219"/>
      <c r="L19" s="220">
        <f t="shared" si="2"/>
        <v>-183888.01683000004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378.75</v>
      </c>
      <c r="I20" s="2"/>
      <c r="J20" s="162">
        <v>46063</v>
      </c>
      <c r="K20" s="162"/>
      <c r="L20" s="215">
        <f t="shared" si="2"/>
        <v>-141098.94224999999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322.5</v>
      </c>
      <c r="I21" s="2"/>
      <c r="J21" s="162">
        <v>46345</v>
      </c>
      <c r="K21" s="162"/>
      <c r="L21" s="215">
        <f t="shared" si="2"/>
        <v>-73240.195139999967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322.5</v>
      </c>
      <c r="I22" s="2"/>
      <c r="J22" s="162">
        <v>46345</v>
      </c>
      <c r="K22" s="162"/>
      <c r="L22" s="215">
        <f t="shared" si="2"/>
        <v>-300.01104000006819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322.5</v>
      </c>
      <c r="I23" s="2"/>
      <c r="J23" s="162">
        <v>46345</v>
      </c>
      <c r="K23" s="162"/>
      <c r="L23" s="215">
        <f t="shared" si="2"/>
        <v>-45901.689120000032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322.5</v>
      </c>
      <c r="I24" s="208"/>
      <c r="J24" s="219">
        <v>46345</v>
      </c>
      <c r="K24" s="219"/>
      <c r="L24" s="220">
        <f t="shared" si="2"/>
        <v>-362263.3308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290.35000000000002</v>
      </c>
      <c r="I25" s="2"/>
      <c r="J25" s="162">
        <v>46710</v>
      </c>
      <c r="K25" s="162"/>
      <c r="L25" s="215">
        <f t="shared" si="2"/>
        <v>-170575.02693000008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290.35000000000002</v>
      </c>
      <c r="I26" s="2"/>
      <c r="J26" s="162">
        <v>46710</v>
      </c>
      <c r="K26" s="162"/>
      <c r="L26" s="215">
        <f t="shared" ref="L26" si="8">D26*(G26-H26)*1.3228</f>
        <v>-166056.11064000006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290.35000000000002</v>
      </c>
      <c r="I27" s="2"/>
      <c r="J27" s="162">
        <v>46710</v>
      </c>
      <c r="K27" s="162"/>
      <c r="L27" s="215">
        <f t="shared" ref="L27" si="10">D27*(G27-H27)*1.3228</f>
        <v>-73783.965150000033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290.35000000000002</v>
      </c>
      <c r="I28" s="2"/>
      <c r="J28" s="162">
        <v>46710</v>
      </c>
      <c r="K28" s="162"/>
      <c r="L28" s="215">
        <f t="shared" ref="L28" si="12">D28*(G28-H28)*1.3228</f>
        <v>-51283.137150000039</v>
      </c>
    </row>
  </sheetData>
  <pageMargins left="0.7" right="0.7" top="0.75" bottom="0.75" header="0.3" footer="0.3"/>
  <ignoredErrors>
    <ignoredError sqref="E7:E1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9" t="s">
        <v>112</v>
      </c>
      <c r="O3" s="229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0"/>
      <c r="O74" s="230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1"/>
      <c r="C9" s="232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3" t="s">
        <v>74</v>
      </c>
      <c r="D43" s="233"/>
    </row>
    <row r="44" spans="2:15" x14ac:dyDescent="0.2">
      <c r="B44" s="42"/>
      <c r="C44" t="s">
        <v>75</v>
      </c>
    </row>
    <row r="45" spans="2:15" x14ac:dyDescent="0.2">
      <c r="B45" s="43"/>
      <c r="C45" s="233" t="s">
        <v>76</v>
      </c>
      <c r="D45" s="233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2025-11-03T10:55:11Z</dcterms:modified>
</cp:coreProperties>
</file>