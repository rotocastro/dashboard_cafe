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F8B940C9-5ECE-644E-9D91-4E6636EC495C}" xr6:coauthVersionLast="47" xr6:coauthVersionMax="47" xr10:uidLastSave="{00000000-0000-0000-0000-000000000000}"/>
  <bookViews>
    <workbookView xWindow="5340" yWindow="1960" windowWidth="24060" windowHeight="14420" activeTab="3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Sheet2!$A$1:$Q$74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6" i="2" l="1"/>
  <c r="Q36" i="2" s="1"/>
  <c r="E71" i="2"/>
  <c r="Q70" i="2"/>
  <c r="Q69" i="2"/>
  <c r="K70" i="2"/>
  <c r="K69" i="2"/>
  <c r="E68" i="2"/>
  <c r="E74" i="2" s="1"/>
  <c r="E72" i="2" s="1"/>
  <c r="Q67" i="2"/>
  <c r="Q66" i="2"/>
  <c r="H28" i="17"/>
  <c r="D28" i="17"/>
  <c r="Q65" i="2"/>
  <c r="Q63" i="2"/>
  <c r="N64" i="2"/>
  <c r="K29" i="2"/>
  <c r="K28" i="2"/>
  <c r="N56" i="2"/>
  <c r="N55" i="2"/>
  <c r="N54" i="2"/>
  <c r="N53" i="2"/>
  <c r="N6" i="2"/>
  <c r="M57" i="2"/>
  <c r="N57" i="2" s="1"/>
  <c r="M48" i="2"/>
  <c r="N48" i="2" s="1"/>
  <c r="K62" i="2"/>
  <c r="K61" i="2"/>
  <c r="K60" i="2"/>
  <c r="K59" i="2"/>
  <c r="K58" i="2"/>
  <c r="K57" i="2"/>
  <c r="K52" i="2"/>
  <c r="K51" i="2"/>
  <c r="K50" i="2"/>
  <c r="K49" i="2"/>
  <c r="K48" i="2"/>
  <c r="K46" i="2"/>
  <c r="H27" i="17"/>
  <c r="D27" i="17"/>
  <c r="H26" i="17"/>
  <c r="D26" i="17"/>
  <c r="F19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L28" i="17" l="1"/>
  <c r="L26" i="17"/>
  <c r="L27" i="17"/>
  <c r="L15" i="17"/>
  <c r="N15" i="17" s="1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4" i="2"/>
  <c r="N74" i="2" s="1"/>
  <c r="M73" i="2"/>
  <c r="N73" i="2" s="1"/>
  <c r="M72" i="2"/>
  <c r="N72" i="2" s="1"/>
  <c r="Q71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5" i="17"/>
  <c r="C12" i="14"/>
  <c r="H24" i="17"/>
  <c r="H23" i="17"/>
  <c r="H22" i="17"/>
  <c r="H21" i="17"/>
  <c r="H20" i="17"/>
  <c r="H19" i="17"/>
  <c r="H18" i="17"/>
  <c r="H17" i="17"/>
  <c r="H16" i="17"/>
  <c r="D16" i="17"/>
  <c r="D19" i="17"/>
  <c r="D22" i="17"/>
  <c r="D23" i="17"/>
  <c r="D3" i="17"/>
  <c r="L3" i="17" s="1"/>
  <c r="N3" i="17" s="1"/>
  <c r="D4" i="17"/>
  <c r="N4" i="17" s="1"/>
  <c r="D5" i="17"/>
  <c r="N5" i="17" s="1"/>
  <c r="D6" i="17"/>
  <c r="L6" i="17" s="1"/>
  <c r="N6" i="17" s="1"/>
  <c r="D7" i="17"/>
  <c r="L7" i="17" s="1"/>
  <c r="N7" i="17" s="1"/>
  <c r="D8" i="17"/>
  <c r="L8" i="17" s="1"/>
  <c r="N8" i="17" s="1"/>
  <c r="D10" i="17"/>
  <c r="L10" i="17" s="1"/>
  <c r="N10" i="17" s="1"/>
  <c r="D11" i="17"/>
  <c r="L11" i="17" s="1"/>
  <c r="N11" i="17" s="1"/>
  <c r="D13" i="17"/>
  <c r="L13" i="17" s="1"/>
  <c r="N13" i="17" s="1"/>
  <c r="D14" i="17"/>
  <c r="D2" i="17"/>
  <c r="L2" i="17" s="1"/>
  <c r="N2" i="17" s="1"/>
  <c r="F25" i="17"/>
  <c r="D25" i="17" s="1"/>
  <c r="F24" i="17"/>
  <c r="D24" i="17" s="1"/>
  <c r="F21" i="17"/>
  <c r="D21" i="17" s="1"/>
  <c r="F20" i="17"/>
  <c r="D20" i="17" s="1"/>
  <c r="F18" i="17"/>
  <c r="D18" i="17" s="1"/>
  <c r="F17" i="17"/>
  <c r="D17" i="17" s="1"/>
  <c r="M14" i="17"/>
  <c r="H14" i="17"/>
  <c r="F12" i="17"/>
  <c r="D12" i="17" s="1"/>
  <c r="L12" i="17" s="1"/>
  <c r="N12" i="17" s="1"/>
  <c r="F9" i="17"/>
  <c r="D9" i="17" s="1"/>
  <c r="L9" i="17" s="1"/>
  <c r="N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8" i="17" l="1"/>
  <c r="L14" i="17"/>
  <c r="N14" i="17" s="1"/>
  <c r="L24" i="17"/>
  <c r="L25" i="17"/>
  <c r="L5" i="17"/>
  <c r="L17" i="17"/>
  <c r="L4" i="17"/>
  <c r="L21" i="17"/>
  <c r="L16" i="17"/>
  <c r="L20" i="17"/>
  <c r="L19" i="17"/>
  <c r="L23" i="17"/>
  <c r="L22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<sst xmlns="http://schemas.openxmlformats.org/spreadsheetml/2006/main" count="972" uniqueCount="357">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</sst>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1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22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FBDE122D-F9BE-AE4A-91C0-5CA92DAE08C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383.75</v>
      </c>
      <c r="M6" s="177">
        <f>(L6+H6)*1.3228</f>
        <v>547.30849999999998</v>
      </c>
      <c r="N6" s="167">
        <f>(E6*(M6+H6))</f>
        <v>184738.72</v>
      </c>
      <c r="O6" s="178">
        <v>5.7</v>
      </c>
      <c r="P6" s="167">
        <f t="shared" ref="P6:P16" si="1">M6*O6</f>
        <v>3119.6584499999999</v>
      </c>
      <c r="Q6" s="167">
        <f t="shared" ref="Q6:Q16" si="2">P6*E6</f>
        <v>998290.70399999991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383.75</v>
      </c>
      <c r="M7" s="177">
        <f>(L7+H7)*1.3228</f>
        <v>547.30849999999998</v>
      </c>
      <c r="N7" s="167">
        <f>(E7*(M7+H7))</f>
        <v>184738.72</v>
      </c>
      <c r="O7" s="178">
        <v>5.7</v>
      </c>
      <c r="P7" s="167">
        <f t="shared" si="1"/>
        <v>3119.6584499999999</v>
      </c>
      <c r="Q7" s="167">
        <f t="shared" si="2"/>
        <v>998290.70399999991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383.75</v>
      </c>
      <c r="M8" s="177">
        <f>(L8+H8)*1.3228</f>
        <v>547.30849999999998</v>
      </c>
      <c r="N8" s="167">
        <f>(E8*(M8+H8))</f>
        <v>184738.72</v>
      </c>
      <c r="O8" s="178">
        <v>5.7</v>
      </c>
      <c r="P8" s="167">
        <f t="shared" si="1"/>
        <v>3119.6584499999999</v>
      </c>
      <c r="Q8" s="167">
        <f t="shared" si="2"/>
        <v>998290.70399999991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383.75</v>
      </c>
      <c r="M9" s="177">
        <f>(L9+H9)*1.3228</f>
        <v>547.30849999999998</v>
      </c>
      <c r="N9" s="167">
        <f>(E9*(M9+H9))</f>
        <v>184738.72</v>
      </c>
      <c r="O9" s="178">
        <v>5.7</v>
      </c>
      <c r="P9" s="167">
        <f t="shared" si="1"/>
        <v>3119.6584499999999</v>
      </c>
      <c r="Q9" s="167">
        <f t="shared" si="2"/>
        <v>998290.70399999991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365.2</v>
      </c>
      <c r="M10" s="177">
        <f>(L10+H10)*1.3228</f>
        <v>522.77055999999993</v>
      </c>
      <c r="N10" s="167">
        <f>(E10*(M10+H10))</f>
        <v>176886.57919999998</v>
      </c>
      <c r="O10" s="178">
        <v>5.7</v>
      </c>
      <c r="P10" s="167">
        <f t="shared" si="1"/>
        <v>2979.7921919999999</v>
      </c>
      <c r="Q10" s="167">
        <f t="shared" si="2"/>
        <v>953533.50144000002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383.75</v>
      </c>
      <c r="M11" s="177">
        <f t="shared" ref="M11:M16" si="4">(L11+H11)*1.3228</f>
        <v>544.66290000000004</v>
      </c>
      <c r="N11" s="167">
        <f t="shared" ref="N11:N16" si="5">(E11*(M11+H11))</f>
        <v>183252.12800000003</v>
      </c>
      <c r="O11" s="178">
        <v>5.7</v>
      </c>
      <c r="P11" s="167">
        <f t="shared" si="1"/>
        <v>3104.5785300000002</v>
      </c>
      <c r="Q11" s="167">
        <f t="shared" si="2"/>
        <v>993465.1296000001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383.75</v>
      </c>
      <c r="M12" s="177">
        <f t="shared" si="4"/>
        <v>544.66290000000004</v>
      </c>
      <c r="N12" s="167">
        <f t="shared" si="5"/>
        <v>183252.12800000003</v>
      </c>
      <c r="O12" s="178">
        <v>5.7</v>
      </c>
      <c r="P12" s="167">
        <f t="shared" si="1"/>
        <v>3104.5785300000002</v>
      </c>
      <c r="Q12" s="167">
        <f t="shared" si="2"/>
        <v>993465.1296000001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365.2</v>
      </c>
      <c r="M13" s="177">
        <f t="shared" si="4"/>
        <v>520.12495999999999</v>
      </c>
      <c r="N13" s="167">
        <f t="shared" si="5"/>
        <v>175399.9872</v>
      </c>
      <c r="O13" s="178">
        <v>5.7</v>
      </c>
      <c r="P13" s="167">
        <f t="shared" si="1"/>
        <v>2964.7122720000002</v>
      </c>
      <c r="Q13" s="167">
        <f t="shared" si="2"/>
        <v>948707.9270400001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352.15</v>
      </c>
      <c r="M14" s="177">
        <f t="shared" si="4"/>
        <v>502.86241999999999</v>
      </c>
      <c r="N14" s="167">
        <f t="shared" si="5"/>
        <v>169875.97439999998</v>
      </c>
      <c r="O14" s="178">
        <v>5.7</v>
      </c>
      <c r="P14" s="167">
        <f t="shared" si="1"/>
        <v>2866.3157940000001</v>
      </c>
      <c r="Q14" s="167">
        <f t="shared" si="2"/>
        <v>917221.05408000003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365.2</v>
      </c>
      <c r="M15" s="177">
        <f t="shared" si="4"/>
        <v>453.98496</v>
      </c>
      <c r="N15" s="167">
        <f t="shared" si="5"/>
        <v>138235.18719999999</v>
      </c>
      <c r="O15" s="178">
        <v>5.7</v>
      </c>
      <c r="P15" s="167">
        <f t="shared" si="1"/>
        <v>2587.7142720000002</v>
      </c>
      <c r="Q15" s="167">
        <f t="shared" si="2"/>
        <v>828068.56704000011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383.75</v>
      </c>
      <c r="M16" s="177">
        <f t="shared" si="4"/>
        <v>577.73289999999997</v>
      </c>
      <c r="N16" s="167">
        <f t="shared" si="5"/>
        <v>201834.52799999999</v>
      </c>
      <c r="O16" s="178">
        <v>5.7</v>
      </c>
      <c r="P16" s="167">
        <f t="shared" si="1"/>
        <v>3293.07753</v>
      </c>
      <c r="Q16" s="167">
        <f t="shared" si="2"/>
        <v>1053784.8096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545.85968571428566</v>
      </c>
      <c r="N19" s="183">
        <f>SUM(N5:N18)</f>
        <v>2445451.392</v>
      </c>
      <c r="O19" s="184"/>
      <c r="P19" s="185">
        <f>Q19/E19</f>
        <v>2992.1073514285708</v>
      </c>
      <c r="Q19" s="183">
        <f>SUM(Q5:Q18)</f>
        <v>13404640.934399998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383.75</v>
      </c>
      <c r="K25" s="163"/>
      <c r="L25" s="197">
        <v>45973</v>
      </c>
      <c r="M25" s="163"/>
      <c r="N25" s="198">
        <f>(H25-I25)*1.3228*D25</f>
        <v>-1359078.137235</v>
      </c>
      <c r="O25" s="178">
        <f>O5</f>
        <v>5.7</v>
      </c>
      <c r="Q25" s="198">
        <f>N25*O25</f>
        <v>-7746745.3822395001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383.75</v>
      </c>
      <c r="K26" s="163"/>
      <c r="L26" s="197">
        <v>45973</v>
      </c>
      <c r="M26" s="163"/>
      <c r="N26" s="198">
        <f>(H26-I26)*1.3228*D26</f>
        <v>-492599.37699000002</v>
      </c>
      <c r="O26" s="178">
        <f>O6</f>
        <v>5.7</v>
      </c>
      <c r="Q26" s="198">
        <f t="shared" ref="Q26:Q27" si="6">N26*O26</f>
        <v>-2807816.448843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383.75</v>
      </c>
      <c r="K27" s="163"/>
      <c r="L27" s="197">
        <v>45980</v>
      </c>
      <c r="M27" s="163"/>
      <c r="N27" s="198">
        <f>(H27-I27)*1.3228*D27</f>
        <v>-642184.88153400004</v>
      </c>
      <c r="O27" s="178">
        <f>O7</f>
        <v>5.7</v>
      </c>
      <c r="Q27" s="198">
        <f t="shared" si="6"/>
        <v>-3660453.8247438003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-2493862.395759</v>
      </c>
      <c r="O28" s="201"/>
      <c r="P28" s="201"/>
      <c r="Q28" s="202">
        <f>SUM(Q25:Q27)</f>
        <v>-14215015.6558263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319.05</v>
      </c>
      <c r="K57" s="178">
        <f>O8</f>
        <v>5.7</v>
      </c>
      <c r="L57" s="197">
        <v>46345</v>
      </c>
      <c r="M57" s="198"/>
      <c r="N57" s="198">
        <f>(H57-I57)*1.3228*D57</f>
        <v>-61596.016649999998</v>
      </c>
      <c r="O57" s="166">
        <f>O25</f>
        <v>5.7</v>
      </c>
      <c r="Q57" s="198">
        <f>N57*O57</f>
        <v>-351097.29490500002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319.05</v>
      </c>
      <c r="K58" s="178">
        <f>O9</f>
        <v>5.7</v>
      </c>
      <c r="L58" s="197">
        <v>46345</v>
      </c>
      <c r="M58" s="198"/>
      <c r="N58" s="198">
        <f>(H58-I58)*1.3228*D58</f>
        <v>10050.369839999898</v>
      </c>
      <c r="O58" s="166">
        <f>O26</f>
        <v>5.7</v>
      </c>
      <c r="Q58" s="198">
        <f>N58*O58</f>
        <v>57287.108087999419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-51545.6468100001</v>
      </c>
      <c r="O59" s="201"/>
      <c r="P59" s="201"/>
      <c r="Q59" s="202">
        <f>SUM(Q56:Q58)</f>
        <v>-293810.18681700062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4"/>
  <sheetViews>
    <sheetView zoomScale="80" zoomScaleNormal="80" workbookViewId="0">
      <pane ySplit="1" topLeftCell="A46" activePane="bottomLeft" state="frozen"/>
      <selection pane="bottomLeft" activeCell="P32" sqref="P32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330</v>
      </c>
      <c r="M48" s="155">
        <f>(L48+H48)*1.3228</f>
        <v>476.20799999999997</v>
      </c>
      <c r="N48" s="3">
        <f t="shared" ref="N48:N62" si="4">M48*E48</f>
        <v>152386.56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330</v>
      </c>
      <c r="M49" s="155">
        <f>(L49+H49)*1.3228</f>
        <v>476.20799999999997</v>
      </c>
      <c r="N49" s="3">
        <f t="shared" si="4"/>
        <v>152386.56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330</v>
      </c>
      <c r="M51" s="155">
        <f>(L51+H51)*1.3228</f>
        <v>476.20799999999997</v>
      </c>
      <c r="N51" s="3">
        <f t="shared" si="4"/>
        <v>152386.56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320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156160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320</v>
      </c>
      <c r="F54" s="2" t="s">
        <v>27</v>
      </c>
      <c r="G54" s="2" t="s">
        <v>289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160000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325</v>
      </c>
      <c r="M57" s="155">
        <f t="shared" ref="M57:M62" si="6">(L57+H57)*1.3228</f>
        <v>466.94839999999999</v>
      </c>
      <c r="N57" s="3">
        <f t="shared" si="4"/>
        <v>149423.48800000001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/>
      <c r="M68" s="155"/>
      <c r="N68" s="3"/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C71" s="2" t="s">
        <v>89</v>
      </c>
      <c r="D71" s="159" t="s">
        <v>331</v>
      </c>
      <c r="E71" s="213">
        <f>2400-E66-E65-E67-E69-E70</f>
        <v>2350</v>
      </c>
      <c r="F71" s="2" t="s">
        <v>32</v>
      </c>
      <c r="G71" s="2" t="s">
        <v>32</v>
      </c>
      <c r="H71" s="2">
        <v>0</v>
      </c>
      <c r="I71" s="158">
        <v>45992</v>
      </c>
      <c r="J71" s="2">
        <v>4</v>
      </c>
      <c r="K71" s="158">
        <v>45992</v>
      </c>
      <c r="L71" s="158"/>
      <c r="N71" s="3"/>
      <c r="P71" s="3">
        <v>1600</v>
      </c>
      <c r="Q71" s="3">
        <f>E71*P71</f>
        <v>3760000</v>
      </c>
    </row>
    <row r="72" spans="1:17" x14ac:dyDescent="0.2">
      <c r="A72" s="2">
        <v>2025</v>
      </c>
      <c r="C72" s="2" t="s">
        <v>42</v>
      </c>
      <c r="D72" s="159" t="s">
        <v>331</v>
      </c>
      <c r="E72" s="2">
        <f>0.7*8000-4800-E73-E74-E68</f>
        <v>286.49999999999994</v>
      </c>
      <c r="F72" s="2" t="s">
        <v>32</v>
      </c>
      <c r="G72" s="2" t="s">
        <v>32</v>
      </c>
      <c r="H72" s="2">
        <v>0</v>
      </c>
      <c r="I72" s="158">
        <v>45992</v>
      </c>
      <c r="J72" s="2">
        <v>4</v>
      </c>
      <c r="K72" s="158">
        <v>45992</v>
      </c>
      <c r="L72" s="155">
        <v>325</v>
      </c>
      <c r="M72" s="155">
        <f>(L72+H72)*1.3228</f>
        <v>429.90999999999997</v>
      </c>
      <c r="N72" s="3">
        <f>M72*E72</f>
        <v>123169.21499999997</v>
      </c>
    </row>
    <row r="73" spans="1:17" x14ac:dyDescent="0.2">
      <c r="A73" s="2">
        <v>2025</v>
      </c>
      <c r="C73" s="2" t="s">
        <v>42</v>
      </c>
      <c r="D73" s="159" t="s">
        <v>331</v>
      </c>
      <c r="E73" s="2">
        <v>64.5</v>
      </c>
      <c r="F73" s="2" t="s">
        <v>32</v>
      </c>
      <c r="G73" s="2" t="s">
        <v>32</v>
      </c>
      <c r="H73" s="2">
        <v>0</v>
      </c>
      <c r="I73" s="158">
        <v>45992</v>
      </c>
      <c r="J73" s="2">
        <v>1</v>
      </c>
      <c r="K73" s="158">
        <v>45992</v>
      </c>
      <c r="L73" s="155">
        <v>330</v>
      </c>
      <c r="M73" s="155">
        <f>(L73+H73)*1.3228</f>
        <v>436.524</v>
      </c>
      <c r="N73" s="3">
        <f>M73*E73</f>
        <v>28155.797999999999</v>
      </c>
    </row>
    <row r="74" spans="1:17" x14ac:dyDescent="0.2">
      <c r="A74" s="2">
        <v>2025</v>
      </c>
      <c r="C74" s="2" t="s">
        <v>42</v>
      </c>
      <c r="D74" s="159" t="s">
        <v>331</v>
      </c>
      <c r="E74" s="213">
        <f>449-E68</f>
        <v>115.66666666666669</v>
      </c>
      <c r="F74" s="2" t="s">
        <v>32</v>
      </c>
      <c r="G74" s="2" t="s">
        <v>32</v>
      </c>
      <c r="H74" s="2">
        <v>0</v>
      </c>
      <c r="I74" s="158">
        <v>46082</v>
      </c>
      <c r="J74" s="2">
        <v>1</v>
      </c>
      <c r="K74" s="158">
        <v>46082</v>
      </c>
      <c r="L74" s="155">
        <v>325</v>
      </c>
      <c r="M74" s="155">
        <f>(L74+H74)*1.3228</f>
        <v>429.90999999999997</v>
      </c>
      <c r="N74" s="3">
        <f>M74*E74</f>
        <v>49726.256666666668</v>
      </c>
    </row>
  </sheetData>
  <autoFilter ref="A1:Q74" xr:uid="{E433115D-D1E6-C943-B0EC-2BC4BD1B44BA}">
    <sortState xmlns:xlrd2="http://schemas.microsoft.com/office/spreadsheetml/2017/richdata2" ref="A2:Q74">
      <sortCondition ref="B1:B74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45929</v>
      </c>
    </row>
    <row r="2" spans="1:4" x14ac:dyDescent="0.2">
      <c r="A2" s="158">
        <v>46021</v>
      </c>
      <c r="B2" s="155">
        <v>383.75</v>
      </c>
      <c r="C2" s="155">
        <f t="shared" ref="C2:C11" si="0">B2*1.3228</f>
        <v>507.62450000000001</v>
      </c>
    </row>
    <row r="3" spans="1:4" x14ac:dyDescent="0.2">
      <c r="A3" s="158">
        <v>46112</v>
      </c>
      <c r="B3" s="155">
        <v>365.2</v>
      </c>
      <c r="C3" s="155">
        <f t="shared" si="0"/>
        <v>483.08655999999996</v>
      </c>
    </row>
    <row r="4" spans="1:4" x14ac:dyDescent="0.2">
      <c r="A4" s="158">
        <v>46173</v>
      </c>
      <c r="B4" s="155">
        <v>352.15</v>
      </c>
      <c r="C4" s="155">
        <f t="shared" si="0"/>
        <v>465.82401999999996</v>
      </c>
    </row>
    <row r="5" spans="1:4" x14ac:dyDescent="0.2">
      <c r="A5" s="158">
        <v>46231</v>
      </c>
      <c r="B5" s="155">
        <v>339.05</v>
      </c>
      <c r="C5" s="155">
        <f t="shared" si="0"/>
        <v>448.49534</v>
      </c>
    </row>
    <row r="6" spans="1:4" x14ac:dyDescent="0.2">
      <c r="A6" s="158">
        <v>46295</v>
      </c>
      <c r="B6" s="155">
        <v>327.10000000000002</v>
      </c>
      <c r="C6" s="155">
        <f t="shared" si="0"/>
        <v>432.68788000000001</v>
      </c>
    </row>
    <row r="7" spans="1:4" x14ac:dyDescent="0.2">
      <c r="A7" s="158">
        <v>46386</v>
      </c>
      <c r="B7" s="155">
        <v>319.05</v>
      </c>
      <c r="C7" s="155">
        <f t="shared" si="0"/>
        <v>422.03933999999998</v>
      </c>
    </row>
    <row r="8" spans="1:4" x14ac:dyDescent="0.2">
      <c r="A8" s="158">
        <v>46477</v>
      </c>
      <c r="B8" s="155">
        <v>312.75</v>
      </c>
      <c r="C8" s="155">
        <f t="shared" si="0"/>
        <v>413.70569999999998</v>
      </c>
    </row>
    <row r="9" spans="1:4" x14ac:dyDescent="0.2">
      <c r="A9" s="158">
        <v>46538</v>
      </c>
      <c r="B9" s="155">
        <v>307.8</v>
      </c>
      <c r="C9" s="155">
        <f t="shared" si="0"/>
        <v>407.15784000000002</v>
      </c>
    </row>
    <row r="10" spans="1:4" x14ac:dyDescent="0.2">
      <c r="A10" s="158">
        <v>46596</v>
      </c>
      <c r="B10" s="155">
        <v>300.35000000000002</v>
      </c>
      <c r="C10" s="155">
        <f t="shared" si="0"/>
        <v>397.30298000000005</v>
      </c>
    </row>
    <row r="11" spans="1:4" x14ac:dyDescent="0.2">
      <c r="A11" s="158">
        <v>46660</v>
      </c>
      <c r="B11" s="155">
        <v>294.64999999999998</v>
      </c>
      <c r="C11" s="155">
        <f t="shared" si="0"/>
        <v>389.76301999999998</v>
      </c>
    </row>
    <row r="12" spans="1:4" x14ac:dyDescent="0.2">
      <c r="A12" s="158">
        <v>46751</v>
      </c>
      <c r="B12" s="155">
        <v>289</v>
      </c>
      <c r="C12" s="155">
        <f>B12*1.3228</f>
        <v>382.28919999999999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28"/>
  <sheetViews>
    <sheetView tabSelected="1" workbookViewId="0">
      <pane ySplit="1" topLeftCell="A15" activePane="bottomLeft" state="frozen"/>
      <selection pane="bottomLeft" activeCell="L16" sqref="L16:L28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5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IF(I2="",L2*M2,(D2*(G2*I2-H2*M2)*1.3328))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5" si="2">D3*(G3-H3)*1.3228</f>
        <v>-10387.882259999997</v>
      </c>
      <c r="M3" s="160">
        <v>5.4650999999999996</v>
      </c>
      <c r="N3" s="215">
        <f t="shared" ref="N3:N13" si="3">IF(I3="",L3*M3,(D3*(G3*I3-H3*M3)*1.3328))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-2515744.9198118164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-4971063.7003114084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>IF(I14="",L14*M14,(D14*(G14*I14-H14*M14)*1.3328))</f>
        <v>-331022.26474607555</v>
      </c>
    </row>
    <row r="15" spans="1:14" x14ac:dyDescent="0.2">
      <c r="A15" s="209" t="s">
        <v>295</v>
      </c>
      <c r="B15" s="209" t="s">
        <v>325</v>
      </c>
      <c r="C15" s="208">
        <f>C19</f>
        <v>47616</v>
      </c>
      <c r="D15" s="216">
        <f t="shared" ref="D15" si="4">283.5*F15</f>
        <v>1417.5</v>
      </c>
      <c r="E15" s="216"/>
      <c r="F15" s="217">
        <v>5</v>
      </c>
      <c r="G15" s="217">
        <f>G19</f>
        <v>222.2</v>
      </c>
      <c r="H15" s="217">
        <v>280</v>
      </c>
      <c r="I15" s="208"/>
      <c r="J15" s="219">
        <v>45769</v>
      </c>
      <c r="K15" s="219">
        <v>45840</v>
      </c>
      <c r="L15" s="220">
        <f t="shared" ref="L15" si="5">D15*(G15-H15)*1.3228</f>
        <v>-108378.98820000002</v>
      </c>
      <c r="M15" s="218">
        <f>5.4677</f>
        <v>5.4676999999999998</v>
      </c>
      <c r="N15" s="220">
        <f t="shared" ref="N15" si="6">IF(I15="",L15*M15,(D15*(G15*I15-H15*M15)*1.3328))</f>
        <v>-592583.79378114012</v>
      </c>
    </row>
    <row r="16" spans="1:14" x14ac:dyDescent="0.2">
      <c r="A16" s="1" t="s">
        <v>295</v>
      </c>
      <c r="B16" s="1" t="s">
        <v>330</v>
      </c>
      <c r="C16" s="2">
        <v>25852</v>
      </c>
      <c r="D16" s="213">
        <f t="shared" si="0"/>
        <v>5017.95</v>
      </c>
      <c r="E16" s="213"/>
      <c r="F16" s="155">
        <v>17.7</v>
      </c>
      <c r="G16" s="155">
        <v>179</v>
      </c>
      <c r="H16" s="155">
        <f>futuros!B2</f>
        <v>383.75</v>
      </c>
      <c r="I16" s="2"/>
      <c r="J16" s="162">
        <v>45973</v>
      </c>
      <c r="K16" s="162"/>
      <c r="L16" s="215">
        <f t="shared" si="2"/>
        <v>-1359078.1372349998</v>
      </c>
      <c r="M16" s="160"/>
      <c r="N16" s="215"/>
    </row>
    <row r="17" spans="1:14" x14ac:dyDescent="0.2">
      <c r="A17" s="1" t="s">
        <v>296</v>
      </c>
      <c r="B17" s="1" t="s">
        <v>330</v>
      </c>
      <c r="C17" s="2">
        <v>507931308</v>
      </c>
      <c r="D17" s="213">
        <f t="shared" si="0"/>
        <v>1984.5</v>
      </c>
      <c r="E17" s="213"/>
      <c r="F17" s="155">
        <f>262500/37500</f>
        <v>7</v>
      </c>
      <c r="G17" s="155">
        <v>196.1</v>
      </c>
      <c r="H17" s="155">
        <f>futuros!B2</f>
        <v>383.75</v>
      </c>
      <c r="I17" s="2"/>
      <c r="J17" s="162">
        <v>45973</v>
      </c>
      <c r="K17" s="162"/>
      <c r="L17" s="215">
        <f t="shared" si="2"/>
        <v>-492599.37698999996</v>
      </c>
      <c r="M17" s="160"/>
      <c r="N17" s="215"/>
    </row>
    <row r="18" spans="1:14" x14ac:dyDescent="0.2">
      <c r="A18" s="1" t="s">
        <v>296</v>
      </c>
      <c r="B18" s="1" t="s">
        <v>329</v>
      </c>
      <c r="C18" s="2">
        <v>29487615</v>
      </c>
      <c r="D18" s="213">
        <f t="shared" si="0"/>
        <v>1984.5</v>
      </c>
      <c r="E18" s="213" t="s">
        <v>344</v>
      </c>
      <c r="F18" s="155">
        <f>262500/37500</f>
        <v>7</v>
      </c>
      <c r="G18" s="155">
        <v>330</v>
      </c>
      <c r="H18" s="155">
        <f>futuros!B2</f>
        <v>383.75</v>
      </c>
      <c r="I18" s="2"/>
      <c r="J18" s="162">
        <v>45973</v>
      </c>
      <c r="K18" s="162"/>
      <c r="L18" s="215">
        <f t="shared" si="2"/>
        <v>-141098.94224999999</v>
      </c>
      <c r="M18" s="160"/>
      <c r="N18" s="215"/>
    </row>
    <row r="19" spans="1:14" x14ac:dyDescent="0.2">
      <c r="A19" s="209" t="s">
        <v>295</v>
      </c>
      <c r="B19" s="209" t="s">
        <v>330</v>
      </c>
      <c r="C19" s="208">
        <v>47616</v>
      </c>
      <c r="D19" s="216">
        <f t="shared" si="0"/>
        <v>1587.6</v>
      </c>
      <c r="E19" s="216"/>
      <c r="F19" s="217">
        <f>10.6-5</f>
        <v>5.6</v>
      </c>
      <c r="G19" s="217">
        <v>222.2</v>
      </c>
      <c r="H19" s="217">
        <f>futuros!B2</f>
        <v>383.75</v>
      </c>
      <c r="I19" s="208"/>
      <c r="J19" s="219">
        <v>45980</v>
      </c>
      <c r="K19" s="219"/>
      <c r="L19" s="220">
        <f t="shared" si="2"/>
        <v>-339267.48458400002</v>
      </c>
      <c r="M19" s="218"/>
      <c r="N19" s="220"/>
    </row>
    <row r="20" spans="1:14" x14ac:dyDescent="0.2">
      <c r="A20" s="1" t="s">
        <v>296</v>
      </c>
      <c r="B20" s="1" t="s">
        <v>329</v>
      </c>
      <c r="C20" s="2">
        <v>29487625</v>
      </c>
      <c r="D20" s="213">
        <f t="shared" si="0"/>
        <v>1984.5</v>
      </c>
      <c r="E20" s="213" t="s">
        <v>345</v>
      </c>
      <c r="F20" s="155">
        <f>262500/37500</f>
        <v>7</v>
      </c>
      <c r="G20" s="155">
        <v>325</v>
      </c>
      <c r="H20" s="155">
        <f>futuros!B3</f>
        <v>365.2</v>
      </c>
      <c r="I20" s="2"/>
      <c r="J20" s="162">
        <v>46063</v>
      </c>
      <c r="K20" s="162"/>
      <c r="L20" s="215">
        <f t="shared" si="2"/>
        <v>-105528.88331999996</v>
      </c>
      <c r="M20" s="160"/>
      <c r="N20" s="215"/>
    </row>
    <row r="21" spans="1:14" x14ac:dyDescent="0.2">
      <c r="A21" s="1" t="s">
        <v>296</v>
      </c>
      <c r="B21" s="1" t="s">
        <v>330</v>
      </c>
      <c r="C21" s="2">
        <v>28133721</v>
      </c>
      <c r="D21" s="213">
        <f t="shared" si="0"/>
        <v>2551.5</v>
      </c>
      <c r="E21" s="213"/>
      <c r="F21" s="155">
        <f>337500/37500</f>
        <v>9</v>
      </c>
      <c r="G21" s="155">
        <v>300.8</v>
      </c>
      <c r="H21" s="155">
        <f>futuros!B7</f>
        <v>319.05</v>
      </c>
      <c r="I21" s="2"/>
      <c r="J21" s="162">
        <v>46345</v>
      </c>
      <c r="K21" s="162"/>
      <c r="L21" s="215">
        <f t="shared" si="2"/>
        <v>-61596.016649999998</v>
      </c>
      <c r="M21" s="160"/>
      <c r="N21" s="215"/>
    </row>
    <row r="22" spans="1:14" x14ac:dyDescent="0.2">
      <c r="A22" s="1" t="s">
        <v>296</v>
      </c>
      <c r="B22" s="1" t="s">
        <v>330</v>
      </c>
      <c r="C22" s="2">
        <v>28594897</v>
      </c>
      <c r="D22" s="213">
        <f t="shared" si="0"/>
        <v>2268</v>
      </c>
      <c r="E22" s="213"/>
      <c r="F22" s="155">
        <v>8</v>
      </c>
      <c r="G22" s="155">
        <v>322.39999999999998</v>
      </c>
      <c r="H22" s="155">
        <f>futuros!B7</f>
        <v>319.05</v>
      </c>
      <c r="I22" s="2"/>
      <c r="J22" s="162">
        <v>46345</v>
      </c>
      <c r="K22" s="162"/>
      <c r="L22" s="215">
        <f t="shared" si="2"/>
        <v>10050.369839999898</v>
      </c>
      <c r="M22" s="160"/>
      <c r="N22" s="215"/>
    </row>
    <row r="23" spans="1:14" x14ac:dyDescent="0.2">
      <c r="A23" s="1" t="s">
        <v>296</v>
      </c>
      <c r="B23" s="1" t="s">
        <v>330</v>
      </c>
      <c r="C23" s="2">
        <v>29340843</v>
      </c>
      <c r="D23" s="213">
        <f t="shared" si="0"/>
        <v>2268</v>
      </c>
      <c r="E23" s="213"/>
      <c r="F23" s="155">
        <v>8</v>
      </c>
      <c r="G23" s="155">
        <v>307.2</v>
      </c>
      <c r="H23" s="155">
        <f>futuros!B7</f>
        <v>319.05</v>
      </c>
      <c r="I23" s="2"/>
      <c r="J23" s="162">
        <v>46345</v>
      </c>
      <c r="K23" s="162"/>
      <c r="L23" s="215">
        <f t="shared" si="2"/>
        <v>-35551.308240000064</v>
      </c>
      <c r="M23" s="160"/>
      <c r="N23" s="215"/>
    </row>
    <row r="24" spans="1:14" x14ac:dyDescent="0.2">
      <c r="A24" s="209" t="s">
        <v>296</v>
      </c>
      <c r="B24" s="209" t="s">
        <v>330</v>
      </c>
      <c r="C24" s="208">
        <v>29487626</v>
      </c>
      <c r="D24" s="216">
        <f t="shared" si="0"/>
        <v>7938</v>
      </c>
      <c r="E24" s="216"/>
      <c r="F24" s="217">
        <f>1050000/37500</f>
        <v>28</v>
      </c>
      <c r="G24" s="217">
        <v>288</v>
      </c>
      <c r="H24" s="217">
        <f>futuros!B7</f>
        <v>319.05</v>
      </c>
      <c r="I24" s="208"/>
      <c r="J24" s="219">
        <v>46345</v>
      </c>
      <c r="K24" s="219"/>
      <c r="L24" s="220">
        <f t="shared" si="2"/>
        <v>-326036.9977200001</v>
      </c>
      <c r="M24" s="218"/>
      <c r="N24" s="220"/>
    </row>
    <row r="25" spans="1:14" x14ac:dyDescent="0.2">
      <c r="A25" s="1" t="s">
        <v>296</v>
      </c>
      <c r="B25" s="1" t="s">
        <v>330</v>
      </c>
      <c r="C25" s="2">
        <v>29575268</v>
      </c>
      <c r="D25" s="213">
        <f t="shared" si="0"/>
        <v>3118.5</v>
      </c>
      <c r="E25" s="213"/>
      <c r="F25" s="155">
        <f>412500/37500</f>
        <v>11</v>
      </c>
      <c r="G25" s="155">
        <v>249</v>
      </c>
      <c r="H25" s="155">
        <f>futuros!B12</f>
        <v>289</v>
      </c>
      <c r="I25" s="2"/>
      <c r="J25" s="162">
        <v>46710</v>
      </c>
      <c r="K25" s="162"/>
      <c r="L25" s="215">
        <f t="shared" si="2"/>
        <v>-165006.07199999999</v>
      </c>
      <c r="M25" s="160"/>
      <c r="N25" s="215"/>
    </row>
    <row r="26" spans="1:14" x14ac:dyDescent="0.2">
      <c r="A26" s="1" t="s">
        <v>296</v>
      </c>
      <c r="B26" s="1" t="s">
        <v>330</v>
      </c>
      <c r="C26" s="2"/>
      <c r="D26" s="213">
        <f t="shared" ref="D26" si="7">283.5*F26</f>
        <v>2268</v>
      </c>
      <c r="E26" s="213"/>
      <c r="F26" s="155">
        <v>8</v>
      </c>
      <c r="G26" s="155">
        <v>235</v>
      </c>
      <c r="H26" s="155">
        <f>futuros!B12</f>
        <v>289</v>
      </c>
      <c r="I26" s="2"/>
      <c r="J26" s="162">
        <v>46710</v>
      </c>
      <c r="K26" s="162"/>
      <c r="L26" s="215">
        <f t="shared" ref="L26" si="8">D26*(G26-H26)*1.3228</f>
        <v>-162005.96160000001</v>
      </c>
      <c r="M26" s="160"/>
      <c r="N26" s="215"/>
    </row>
    <row r="27" spans="1:14" x14ac:dyDescent="0.2">
      <c r="A27" s="1" t="s">
        <v>296</v>
      </c>
      <c r="B27" s="1" t="s">
        <v>330</v>
      </c>
      <c r="C27" s="2"/>
      <c r="D27" s="213">
        <f t="shared" ref="D27" si="9">283.5*F27</f>
        <v>1417.5</v>
      </c>
      <c r="E27" s="213"/>
      <c r="F27" s="155">
        <v>5</v>
      </c>
      <c r="G27" s="155">
        <v>251</v>
      </c>
      <c r="H27" s="155">
        <f>futuros!B12</f>
        <v>289</v>
      </c>
      <c r="I27" s="2"/>
      <c r="J27" s="162">
        <v>46710</v>
      </c>
      <c r="K27" s="162"/>
      <c r="L27" s="215">
        <f t="shared" ref="L27" si="10">D27*(G27-H27)*1.3228</f>
        <v>-71252.622000000003</v>
      </c>
    </row>
    <row r="28" spans="1:14" x14ac:dyDescent="0.2">
      <c r="A28" s="1" t="s">
        <v>296</v>
      </c>
      <c r="B28" s="1" t="s">
        <v>330</v>
      </c>
      <c r="C28" s="2"/>
      <c r="D28" s="213">
        <f t="shared" ref="D28" si="11">283.5*F28</f>
        <v>1417.5</v>
      </c>
      <c r="E28" s="213"/>
      <c r="F28" s="155">
        <v>5</v>
      </c>
      <c r="G28" s="155">
        <v>263</v>
      </c>
      <c r="H28" s="155">
        <f>futuros!B12</f>
        <v>289</v>
      </c>
      <c r="I28" s="2"/>
      <c r="J28" s="162">
        <v>46710</v>
      </c>
      <c r="K28" s="162"/>
      <c r="L28" s="215">
        <f t="shared" ref="L28" si="12">D28*(G28-H28)*1.3228</f>
        <v>-48751.794000000002</v>
      </c>
    </row>
  </sheetData>
  <pageMargins left="0.7" right="0.7" top="0.75" bottom="0.75" header="0.3" footer="0.3"/>
  <ignoredErrors>
    <ignoredError sqref="E7:E13" numberStoredAsText="1"/>
    <ignoredError sqref="F1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1" t="s">
        <v>112</v>
      </c>
      <c r="O3" s="221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22"/>
      <c r="O74" s="222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23"/>
      <c r="C9" s="224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25" t="s">
        <v>74</v>
      </c>
      <c r="D43" s="225"/>
    </row>
    <row r="44" spans="2:15" x14ac:dyDescent="0.2">
      <c r="B44" s="42"/>
      <c r="C44" t="s">
        <v>75</v>
      </c>
    </row>
    <row r="45" spans="2:15" x14ac:dyDescent="0.2">
      <c r="B45" s="43"/>
      <c r="C45" s="225" t="s">
        <v>76</v>
      </c>
      <c r="D45" s="225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2025-09-29T12:14:47Z</dcterms:modified>
</cp:coreProperties>
</file>