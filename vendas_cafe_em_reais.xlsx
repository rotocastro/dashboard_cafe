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7058749C-3638-3D47-B4C0-4DDB6BA75338}" xr6:coauthVersionLast="47" xr6:coauthVersionMax="47" xr10:uidLastSave="{00000000-0000-0000-0000-000000000000}"/>
  <bookViews>
    <workbookView xWindow="4420" yWindow="680" windowWidth="2498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Sheet2!$A$1:$Q$80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2" l="1"/>
  <c r="Q76" i="2"/>
  <c r="K76" i="2"/>
  <c r="Q75" i="2"/>
  <c r="K75" i="2"/>
  <c r="L5" i="17"/>
  <c r="L4" i="17"/>
  <c r="L2" i="17"/>
  <c r="Q74" i="2"/>
  <c r="Q73" i="2"/>
  <c r="Q72" i="2"/>
  <c r="Q71" i="2"/>
  <c r="K74" i="2"/>
  <c r="K73" i="2"/>
  <c r="K72" i="2"/>
  <c r="K71" i="2"/>
  <c r="H31" i="17"/>
  <c r="D31" i="17"/>
  <c r="L31" i="17" l="1"/>
  <c r="M16" i="17" l="1"/>
  <c r="N16" i="17"/>
  <c r="N3" i="17" l="1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68" i="2"/>
  <c r="P36" i="2"/>
  <c r="Q36" i="2" s="1"/>
  <c r="Q70" i="2"/>
  <c r="Q69" i="2"/>
  <c r="K70" i="2"/>
  <c r="K69" i="2"/>
  <c r="E68" i="2"/>
  <c r="E80" i="2" s="1"/>
  <c r="E78" i="2" s="1"/>
  <c r="Q67" i="2"/>
  <c r="Q66" i="2"/>
  <c r="H30" i="17"/>
  <c r="D30" i="17"/>
  <c r="Q65" i="2"/>
  <c r="Q63" i="2"/>
  <c r="N64" i="2"/>
  <c r="K29" i="2"/>
  <c r="K28" i="2"/>
  <c r="N56" i="2"/>
  <c r="N55" i="2"/>
  <c r="N54" i="2"/>
  <c r="N53" i="2"/>
  <c r="N6" i="2"/>
  <c r="M57" i="2"/>
  <c r="N57" i="2" s="1"/>
  <c r="K62" i="2"/>
  <c r="K61" i="2"/>
  <c r="K60" i="2"/>
  <c r="K59" i="2"/>
  <c r="K58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68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80" i="2"/>
  <c r="N80" i="2" s="1"/>
  <c r="M79" i="2"/>
  <c r="N79" i="2" s="1"/>
  <c r="M78" i="2"/>
  <c r="N78" i="2" s="1"/>
  <c r="Q77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19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<sst xmlns="http://schemas.openxmlformats.org/spreadsheetml/2006/main" count="1009" uniqueCount="365">
  <si>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</si>
  <si>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</si>
  <si>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</si>
  <si>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</si>
  <si>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</si>
  <si>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</si>
  <si>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</si>
  <si>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</si>
  <si>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</si>
  <si>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</si>
  <si>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</si>
  <si>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</si>
  <si>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</si>
  <si>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</si>
  <si>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</si>
  <si>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</si>
  <si>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</si>
  <si>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</si>
  <si>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</si>
  <si>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</si>
  <si>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</si>
  <si>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</si>
  <si>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</si>
  <si>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</si>
  <si>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</si>
  <si>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</si>
  <si>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</si>
  <si>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</si>
  <si>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</si>
  <si>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</si>
  <si>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</si>
  <si>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</si>
  <si>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</si>
  <si>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</si>
  <si>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</si>
  <si>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</si>
  <si>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</si>
  <si>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</si>
  <si>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</si>
  <si>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</si>
  <si>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</si>
  <si>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</si>
  <si>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</si>
  <si>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</si>
  <si>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</si>
  <si>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</si>
  <si>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</si>
  <si>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</si>
  <si>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</si>
  <si>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</si>
  <si>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</si>
  <si>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</si>
  <si>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</si>
  <si>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</si>
  <si>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</si>
  <si>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</si>
  <si>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</si>
  <si>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</si>
  <si>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</si>
  <si>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</si>
  <si>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</si>
  <si>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</si>
  <si>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</si>
  <si>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</si>
  <si>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</si>
  <si>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</si>
  <si>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</si>
  <si>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</si>
  <si>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</si>
  <si>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</si>
  <si>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</si>
  <si>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</si>
  <si>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</si>
  <si>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</si>
  <si>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</si>
  <si>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</si>
  <si>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</si>
  <si>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</si>
  <si>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</si>
  <si>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</si>
  <si>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</si>
  <si>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</si>
  <si>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</si>
  <si>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</si>
  <si>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</si>
  <si>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</si>
  <si>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</si>
  <si>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</si>
  <si>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</si>
  <si>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</si>
  <si>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</si>
  <si>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</si>
  <si>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</si>
  <si>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</si>
  <si>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</si>
  <si>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</si>
  <si>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</si>
  <si>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</si>
  <si>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</si>
  <si>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</si>
  <si>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</si>
  <si>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</si>
  <si>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</si>
  <si>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</si>
  <si>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</si>
  <si>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</si>
  <si>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</si>
  <si>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</si>
  <si>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</si>
  <si>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</si>
  <si>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</si>
  <si>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</si>
  <si>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</si>
  <si>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</si>
  <si>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</si>
  <si>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</si>
  <si>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</si>
  <si>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</si>
  <si>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</si>
  <si>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</si>
  <si>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</si>
  <si>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</si>
  <si>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</si>
  <si>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</si>
  <si>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</si>
  <si>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</si>
  <si>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</si>
  <si>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</si>
  <si>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</si>
  <si>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</si>
  <si>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</si>
  <si>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</si>
  <si>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</si>
  <si>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</si>
  <si>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</si>
  <si>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</si>
  <si>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</si>
  <si>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</si>
  <si>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</si>
  <si>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</si>
  <si>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</si>
  <si>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</si>
  <si>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</si>
  <si>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</si>
  <si>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</si>
  <si>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</si>
  <si>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</si>
  <si>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</si>
  <si>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</si>
  <si>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</si>
  <si>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</si>
  <si>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</si>
  <si>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</si>
  <si>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</si>
  <si>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</si>
  <si>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</si>
  <si>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</si>
  <si>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</si>
  <si>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</si>
  <si>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</si>
  <si>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</si>
  <si>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</si>
  <si>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</si>
  <si>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</si>
  <si>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</si>
  <si>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</si>
  <si>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</si>
  <si>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</si>
  <si>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</si>
  <si>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</si>
  <si>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</si>
  <si>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</si>
  <si>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</si>
  <si>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</si>
  <si>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</si>
  <si>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</si>
  <si>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</si>
  <si>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</si>
  <si>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</si>
  <si>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</si>
  <si>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</si>
  <si>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</si>
  <si>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</si>
  <si>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</si>
  <si>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</si>
  <si>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</si>
  <si>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</si>
  <si>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</si>
  <si>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</si>
  <si>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</si>
  <si>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</si>
  <si>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</si>
  <si>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</si>
  <si>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</si>
  <si>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</si>
  <si>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</si>
  <si>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</si>
  <si>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</si>
  <si>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</si>
  <si>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</si>
  <si>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</si>
  <si>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</si>
  <si>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</si>
  <si>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</si>
  <si>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</si>
  <si>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</si>
  <si>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</si>
  <si>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</si>
  <si>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</si>
  <si>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</si>
  <si>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</si>
  <si>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</si>
  <si>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</si>
  <si>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</si>
  <si>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</si>
  <si>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</si>
  <si>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</si>
  <si>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</si>
  <si>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</si>
  <si>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</si>
  <si>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</si>
  <si>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</si>
  <si>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</si>
  <si>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</si>
  <si>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</si>
  <si>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</si>
  <si>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</si>
  <si>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</si>
  <si>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</si>
  <si>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</si>
  <si>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</si>
  <si>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</si>
  <si>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</si>
  <si>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</si>
  <si>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</si>
  <si>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</si>
  <si>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</si>
  <si>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</si>
  <si>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</si>
  <si>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</si>
  <si>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</si>
  <si>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</si>
  <si>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</si>
  <si>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</si>
  <si>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</si>
  <si>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</si>
  <si>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</si>
  <si>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</si>
  <si>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</si>
  <si>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</si>
  <si>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</si>
  <si>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</si>
  <si>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</si>
  <si>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</si>
  <si>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</si>
  <si>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</si>
  <si>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</si>
  <si>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</si>
  <si>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</si>
  <si>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</si>
  <si>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</si>
  <si>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</si>
  <si>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</si>
  <si>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</si>
  <si>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</si>
  <si>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</si>
  <si>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</si>
  <si>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</si>
  <si>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</si>
  <si>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</si>
  <si>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</si>
  <si>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</si>
  <si>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</si>
  <si>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</si>
  <si>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</si>
  <si>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</si>
  <si>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</si>
  <si>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</si>
  <si>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</si>
  <si>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</si>
  <si>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</si>
  <si>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</si>
  <si>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</si>
  <si>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</si>
  <si>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</si>
  <si>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</si>
  <si>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</si>
  <si>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</si>
  <si>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</si>
  <si>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</si>
  <si>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</si>
  <si>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</si>
  <si>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</si>
  <si>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</si>
  <si>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</si>
  <si>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</si>
  <si>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</si>
  <si>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</si>
  <si>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</si>
  <si>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</si>
  <si>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</si>
  <si>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</si>
  <si>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</si>
  <si>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</si>
  <si>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</si>
  <si>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</si>
  <si>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</si>
  <si>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</si>
  <si>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</si>
  <si>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</si>
  <si>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</si>
  <si>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</si>
  <si>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</si>
  <si>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</si>
  <si>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</si>
  <si>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</si>
  <si>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</si>
  <si>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</si>
  <si>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</si>
  <si>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</si>
  <si>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</si>
  <si>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</si>
  <si>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</si>
  <si>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</si>
  <si>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</si>
  <si>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</si>
  <si>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</si>
  <si>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</si>
  <si>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</si>
  <si>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</si>
  <si>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</si>
  <si>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</si>
  <si>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</si>
  <si>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</si>
  <si>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</si>
  <si>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</si>
  <si>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</si>
  <si>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</si>
  <si>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</si>
  <si>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</si>
  <si>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</si>
  <si>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</si>
  <si>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</si>
  <si>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</si>
  <si>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</si>
  <si>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</si>
  <si>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</si>
  <si>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</si>
  <si>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</si>
  <si>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</si>
  <si>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</si>
  <si>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</si>
  <si>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</si>
  <si>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</si>
  <si>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</si>
  <si>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</si>
  <si>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</si>
  <si>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</si>
  <si>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</si>
  <si>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</si>
  <si>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</si>
  <si>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</si>
  <si>
    <t>079/25</t>
  </si>
  <si>
    <t>080/25</t>
  </si>
  <si>
    <t>Café 3 Corações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</si>
</sst>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407.1</v>
      </c>
      <c r="M6" s="177">
        <f>(L6+H6)*1.3228</f>
        <v>578.19587999999999</v>
      </c>
      <c r="N6" s="167">
        <f>(E6*(M6+H6))</f>
        <v>194622.68160000001</v>
      </c>
      <c r="O6" s="178">
        <v>5.7</v>
      </c>
      <c r="P6" s="167">
        <f t="shared" ref="P6:P16" si="1">M6*O6</f>
        <v>3295.716516</v>
      </c>
      <c r="Q6" s="167">
        <f t="shared" ref="Q6:Q16" si="2">P6*E6</f>
        <v>1054629.2851199999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407.1</v>
      </c>
      <c r="M7" s="177">
        <f>(L7+H7)*1.3228</f>
        <v>578.19587999999999</v>
      </c>
      <c r="N7" s="167">
        <f>(E7*(M7+H7))</f>
        <v>194622.68160000001</v>
      </c>
      <c r="O7" s="178">
        <v>5.7</v>
      </c>
      <c r="P7" s="167">
        <f t="shared" si="1"/>
        <v>3295.716516</v>
      </c>
      <c r="Q7" s="167">
        <f t="shared" si="2"/>
        <v>1054629.2851199999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407.1</v>
      </c>
      <c r="M8" s="177">
        <f>(L8+H8)*1.3228</f>
        <v>578.19587999999999</v>
      </c>
      <c r="N8" s="167">
        <f>(E8*(M8+H8))</f>
        <v>194622.68160000001</v>
      </c>
      <c r="O8" s="178">
        <v>5.7</v>
      </c>
      <c r="P8" s="167">
        <f t="shared" si="1"/>
        <v>3295.716516</v>
      </c>
      <c r="Q8" s="167">
        <f t="shared" si="2"/>
        <v>1054629.2851199999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407.1</v>
      </c>
      <c r="M9" s="177">
        <f>(L9+H9)*1.3228</f>
        <v>578.19587999999999</v>
      </c>
      <c r="N9" s="167">
        <f>(E9*(M9+H9))</f>
        <v>194622.68160000001</v>
      </c>
      <c r="O9" s="178">
        <v>5.7</v>
      </c>
      <c r="P9" s="167">
        <f t="shared" si="1"/>
        <v>3295.716516</v>
      </c>
      <c r="Q9" s="167">
        <f t="shared" si="2"/>
        <v>1054629.2851199999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375.6</v>
      </c>
      <c r="M10" s="177">
        <f>(L10+H10)*1.3228</f>
        <v>536.52768000000003</v>
      </c>
      <c r="N10" s="167">
        <f>(E10*(M10+H10))</f>
        <v>181288.85760000002</v>
      </c>
      <c r="O10" s="178">
        <v>5.7</v>
      </c>
      <c r="P10" s="167">
        <f t="shared" si="1"/>
        <v>3058.2077760000002</v>
      </c>
      <c r="Q10" s="167">
        <f t="shared" si="2"/>
        <v>978626.48832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407.1</v>
      </c>
      <c r="M11" s="177">
        <f t="shared" ref="M11:M16" si="4">(L11+H11)*1.3228</f>
        <v>575.55028000000004</v>
      </c>
      <c r="N11" s="167">
        <f t="shared" ref="N11:N16" si="5">(E11*(M11+H11))</f>
        <v>193136.08960000001</v>
      </c>
      <c r="O11" s="178">
        <v>5.7</v>
      </c>
      <c r="P11" s="167">
        <f t="shared" si="1"/>
        <v>3280.6365960000003</v>
      </c>
      <c r="Q11" s="167">
        <f t="shared" si="2"/>
        <v>1049803.7107200001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407.1</v>
      </c>
      <c r="M12" s="177">
        <f t="shared" si="4"/>
        <v>575.55028000000004</v>
      </c>
      <c r="N12" s="167">
        <f t="shared" si="5"/>
        <v>193136.08960000001</v>
      </c>
      <c r="O12" s="178">
        <v>5.7</v>
      </c>
      <c r="P12" s="167">
        <f t="shared" si="1"/>
        <v>3280.6365960000003</v>
      </c>
      <c r="Q12" s="167">
        <f t="shared" si="2"/>
        <v>1049803.7107200001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375.6</v>
      </c>
      <c r="M13" s="177">
        <f t="shared" si="4"/>
        <v>533.88207999999997</v>
      </c>
      <c r="N13" s="167">
        <f t="shared" si="5"/>
        <v>179802.26559999998</v>
      </c>
      <c r="O13" s="178">
        <v>5.7</v>
      </c>
      <c r="P13" s="167">
        <f t="shared" si="1"/>
        <v>3043.1278560000001</v>
      </c>
      <c r="Q13" s="167">
        <f t="shared" si="2"/>
        <v>973800.91391999996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358.65</v>
      </c>
      <c r="M14" s="177">
        <f t="shared" si="4"/>
        <v>511.46061999999995</v>
      </c>
      <c r="N14" s="167">
        <f t="shared" si="5"/>
        <v>172627.39839999998</v>
      </c>
      <c r="O14" s="178">
        <v>5.7</v>
      </c>
      <c r="P14" s="167">
        <f t="shared" si="1"/>
        <v>2915.3255339999996</v>
      </c>
      <c r="Q14" s="167">
        <f t="shared" si="2"/>
        <v>932904.17087999987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375.6</v>
      </c>
      <c r="M15" s="177">
        <f t="shared" si="4"/>
        <v>467.74208000000004</v>
      </c>
      <c r="N15" s="167">
        <f t="shared" si="5"/>
        <v>142637.46560000003</v>
      </c>
      <c r="O15" s="178">
        <v>5.7</v>
      </c>
      <c r="P15" s="167">
        <f t="shared" si="1"/>
        <v>2666.1298560000005</v>
      </c>
      <c r="Q15" s="167">
        <f t="shared" si="2"/>
        <v>853161.55392000009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407.1</v>
      </c>
      <c r="M16" s="177">
        <f t="shared" si="4"/>
        <v>608.62027999999998</v>
      </c>
      <c r="N16" s="167">
        <f t="shared" si="5"/>
        <v>211718.4896</v>
      </c>
      <c r="O16" s="178">
        <v>5.7</v>
      </c>
      <c r="P16" s="167">
        <f t="shared" si="1"/>
        <v>3469.1355960000001</v>
      </c>
      <c r="Q16" s="167">
        <f t="shared" si="2"/>
        <v>1110123.39072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564.86548714285721</v>
      </c>
      <c r="N19" s="183">
        <f>SUM(N5:N18)</f>
        <v>2530597.3824000005</v>
      </c>
      <c r="O19" s="184"/>
      <c r="P19" s="185">
        <f>Q19/E19</f>
        <v>3100.4404195714283</v>
      </c>
      <c r="Q19" s="183">
        <f>SUM(Q5:Q18)</f>
        <v>13889973.07968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407.1</v>
      </c>
      <c r="K25" s="163"/>
      <c r="L25" s="197">
        <v>45973</v>
      </c>
      <c r="M25" s="163"/>
      <c r="N25" s="198">
        <f>(H25-I25)*1.3228*D25</f>
        <v>-1514069.4657059999</v>
      </c>
      <c r="O25" s="178">
        <f>O5</f>
        <v>5.7</v>
      </c>
      <c r="Q25" s="198">
        <f>N25*O25</f>
        <v>-8630195.9545242004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407.1</v>
      </c>
      <c r="K26" s="163"/>
      <c r="L26" s="197">
        <v>45973</v>
      </c>
      <c r="M26" s="163"/>
      <c r="N26" s="198">
        <f>(H26-I26)*1.3228*D26</f>
        <v>-553895.38260000013</v>
      </c>
      <c r="O26" s="178">
        <f>O6</f>
        <v>5.7</v>
      </c>
      <c r="Q26" s="198">
        <f t="shared" ref="Q26:Q27" si="6">N26*O26</f>
        <v>-3157203.6808200008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407.1</v>
      </c>
      <c r="K27" s="163"/>
      <c r="L27" s="197">
        <v>45980</v>
      </c>
      <c r="M27" s="163"/>
      <c r="N27" s="198">
        <f>(H27-I27)*1.3228*D27</f>
        <v>-735004.54717200005</v>
      </c>
      <c r="O27" s="178">
        <f>O7</f>
        <v>5.7</v>
      </c>
      <c r="Q27" s="198">
        <f t="shared" si="6"/>
        <v>-4189525.9188804002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-2802969.3954779999</v>
      </c>
      <c r="O28" s="201"/>
      <c r="P28" s="201"/>
      <c r="Q28" s="202">
        <f>SUM(Q25:Q27)</f>
        <v>-15976925.554224603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324.8</v>
      </c>
      <c r="K57" s="178">
        <f>O8</f>
        <v>5.7</v>
      </c>
      <c r="L57" s="197">
        <v>46345</v>
      </c>
      <c r="M57" s="198"/>
      <c r="N57" s="198">
        <f>(H57-I57)*1.3228*D57</f>
        <v>-81002.980800000005</v>
      </c>
      <c r="O57" s="166">
        <f>O25</f>
        <v>5.7</v>
      </c>
      <c r="Q57" s="198">
        <f>N57*O57</f>
        <v>-461716.99056000006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324.8</v>
      </c>
      <c r="K58" s="178">
        <f>O9</f>
        <v>5.7</v>
      </c>
      <c r="L58" s="197">
        <v>46345</v>
      </c>
      <c r="M58" s="198"/>
      <c r="N58" s="198">
        <f>(H58-I58)*1.3228*D58</f>
        <v>-7200.2649600001023</v>
      </c>
      <c r="O58" s="166">
        <f>O26</f>
        <v>5.7</v>
      </c>
      <c r="Q58" s="198">
        <f>N58*O58</f>
        <v>-41041.510272000582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-88203.245760000107</v>
      </c>
      <c r="O59" s="201"/>
      <c r="P59" s="201"/>
      <c r="Q59" s="202">
        <f>SUM(Q56:Q58)</f>
        <v>-502758.50083200063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80"/>
  <sheetViews>
    <sheetView tabSelected="1" zoomScale="80" zoomScaleNormal="80" workbookViewId="0">
      <pane ySplit="1" topLeftCell="A42" activePane="bottomLeft" state="frozen"/>
      <selection pane="bottomLeft" activeCell="D75" sqref="D75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45953</v>
      </c>
      <c r="J48" s="2">
        <v>1</v>
      </c>
      <c r="K48" s="158">
        <f>I48+65</f>
        <v>46018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45953</v>
      </c>
      <c r="J49" s="2">
        <v>1</v>
      </c>
      <c r="K49" s="158">
        <f>I49+65</f>
        <v>46018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45953</v>
      </c>
      <c r="J50" s="2">
        <v>1</v>
      </c>
      <c r="K50" s="158">
        <f>I50+65</f>
        <v>46018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45953</v>
      </c>
      <c r="J51" s="2">
        <v>1</v>
      </c>
      <c r="K51" s="158">
        <f>I51+65</f>
        <v>46018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45973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45973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45953</v>
      </c>
      <c r="J57" s="2">
        <v>1</v>
      </c>
      <c r="K57" s="158">
        <f t="shared" ref="K57:K62" si="5">I57+65</f>
        <v>46018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45991</v>
      </c>
      <c r="J58" s="2">
        <v>1</v>
      </c>
      <c r="K58" s="158">
        <f t="shared" si="5"/>
        <v>46056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45974</v>
      </c>
      <c r="J62" s="2">
        <v>1</v>
      </c>
      <c r="K62" s="158">
        <f t="shared" si="5"/>
        <v>46039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 t="shared" ref="Q69:Q77" si="7"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 t="shared" si="7"/>
        <v>32000</v>
      </c>
    </row>
    <row r="71" spans="1:17" x14ac:dyDescent="0.2">
      <c r="A71" s="2">
        <v>2025</v>
      </c>
      <c r="B71" s="2" t="s">
        <v>357</v>
      </c>
      <c r="C71" s="2" t="s">
        <v>89</v>
      </c>
      <c r="D71" s="159" t="s">
        <v>24</v>
      </c>
      <c r="E71" s="213">
        <v>3</v>
      </c>
      <c r="F71" s="2" t="s">
        <v>33</v>
      </c>
      <c r="G71" s="2" t="s">
        <v>37</v>
      </c>
      <c r="I71" s="158">
        <v>45979</v>
      </c>
      <c r="J71" s="2">
        <v>1</v>
      </c>
      <c r="K71" s="158">
        <f>I71</f>
        <v>45979</v>
      </c>
      <c r="L71" s="155"/>
      <c r="M71" s="155"/>
      <c r="N71" s="3"/>
      <c r="P71" s="3">
        <v>2650</v>
      </c>
      <c r="Q71" s="3">
        <f t="shared" si="7"/>
        <v>7950</v>
      </c>
    </row>
    <row r="72" spans="1:17" x14ac:dyDescent="0.2">
      <c r="A72" s="2">
        <v>2025</v>
      </c>
      <c r="B72" s="2" t="s">
        <v>358</v>
      </c>
      <c r="C72" s="2" t="s">
        <v>89</v>
      </c>
      <c r="D72" s="159" t="s">
        <v>24</v>
      </c>
      <c r="E72" s="213">
        <v>12</v>
      </c>
      <c r="F72" s="2" t="s">
        <v>33</v>
      </c>
      <c r="G72" s="2" t="s">
        <v>37</v>
      </c>
      <c r="I72" s="158">
        <v>46023</v>
      </c>
      <c r="J72" s="2">
        <v>1</v>
      </c>
      <c r="K72" s="158">
        <f t="shared" ref="K72:K74" si="8">I72</f>
        <v>46023</v>
      </c>
      <c r="L72" s="155"/>
      <c r="M72" s="155"/>
      <c r="N72" s="3"/>
      <c r="P72" s="3">
        <v>2650</v>
      </c>
      <c r="Q72" s="3">
        <f t="shared" si="7"/>
        <v>31800</v>
      </c>
    </row>
    <row r="73" spans="1:17" x14ac:dyDescent="0.2">
      <c r="A73" s="2">
        <v>2025</v>
      </c>
      <c r="B73" s="2" t="s">
        <v>359</v>
      </c>
      <c r="C73" s="2" t="s">
        <v>89</v>
      </c>
      <c r="D73" s="159" t="s">
        <v>257</v>
      </c>
      <c r="E73" s="213">
        <v>30</v>
      </c>
      <c r="F73" s="2" t="s">
        <v>33</v>
      </c>
      <c r="G73" s="2" t="s">
        <v>35</v>
      </c>
      <c r="I73" s="158">
        <v>45986</v>
      </c>
      <c r="J73" s="2">
        <v>1</v>
      </c>
      <c r="K73" s="158">
        <f t="shared" si="8"/>
        <v>45986</v>
      </c>
      <c r="L73" s="155"/>
      <c r="M73" s="155"/>
      <c r="N73" s="3"/>
      <c r="P73" s="3">
        <v>2650</v>
      </c>
      <c r="Q73" s="3">
        <f t="shared" si="7"/>
        <v>79500</v>
      </c>
    </row>
    <row r="74" spans="1:17" x14ac:dyDescent="0.2">
      <c r="A74" s="2">
        <v>2025</v>
      </c>
      <c r="B74" s="2" t="s">
        <v>360</v>
      </c>
      <c r="C74" s="2" t="s">
        <v>89</v>
      </c>
      <c r="D74" s="159" t="s">
        <v>361</v>
      </c>
      <c r="E74" s="213">
        <v>5</v>
      </c>
      <c r="F74" s="2" t="s">
        <v>27</v>
      </c>
      <c r="G74" s="2" t="s">
        <v>290</v>
      </c>
      <c r="I74" s="158">
        <v>45979</v>
      </c>
      <c r="J74" s="2">
        <v>1</v>
      </c>
      <c r="K74" s="158">
        <f t="shared" si="8"/>
        <v>45979</v>
      </c>
      <c r="L74" s="155"/>
      <c r="M74" s="155"/>
      <c r="N74" s="3"/>
      <c r="P74" s="3">
        <v>2300</v>
      </c>
      <c r="Q74" s="3">
        <f t="shared" si="7"/>
        <v>11500</v>
      </c>
    </row>
    <row r="75" spans="1:17" x14ac:dyDescent="0.2">
      <c r="A75" s="2">
        <v>2025</v>
      </c>
      <c r="B75" s="2" t="s">
        <v>362</v>
      </c>
      <c r="C75" s="2" t="s">
        <v>89</v>
      </c>
      <c r="D75" s="159" t="s">
        <v>364</v>
      </c>
      <c r="E75" s="213">
        <v>161</v>
      </c>
      <c r="F75" s="2" t="s">
        <v>33</v>
      </c>
      <c r="G75" s="2" t="s">
        <v>289</v>
      </c>
      <c r="I75" s="158">
        <v>46001</v>
      </c>
      <c r="J75" s="2">
        <v>1</v>
      </c>
      <c r="K75" s="158">
        <f t="shared" ref="K75:K76" si="9">I75</f>
        <v>46001</v>
      </c>
      <c r="L75" s="155"/>
      <c r="M75" s="155"/>
      <c r="N75" s="3"/>
      <c r="P75" s="3">
        <v>2600</v>
      </c>
      <c r="Q75" s="3">
        <f t="shared" ref="Q75:Q76" si="10">E75*P75</f>
        <v>418600</v>
      </c>
    </row>
    <row r="76" spans="1:17" x14ac:dyDescent="0.2">
      <c r="A76" s="2">
        <v>2025</v>
      </c>
      <c r="B76" s="2" t="s">
        <v>363</v>
      </c>
      <c r="C76" s="2" t="s">
        <v>89</v>
      </c>
      <c r="D76" s="159" t="s">
        <v>364</v>
      </c>
      <c r="E76" s="213">
        <v>75</v>
      </c>
      <c r="F76" s="2" t="s">
        <v>33</v>
      </c>
      <c r="G76" s="2" t="s">
        <v>289</v>
      </c>
      <c r="I76" s="158">
        <v>46001</v>
      </c>
      <c r="J76" s="2">
        <v>1</v>
      </c>
      <c r="K76" s="158">
        <f t="shared" si="9"/>
        <v>46001</v>
      </c>
      <c r="L76" s="155"/>
      <c r="M76" s="155"/>
      <c r="N76" s="3"/>
      <c r="P76" s="3">
        <v>2600</v>
      </c>
      <c r="Q76" s="3">
        <f t="shared" si="10"/>
        <v>195000</v>
      </c>
    </row>
    <row r="77" spans="1:17" x14ac:dyDescent="0.2">
      <c r="A77" s="2">
        <v>2025</v>
      </c>
      <c r="C77" s="2" t="s">
        <v>89</v>
      </c>
      <c r="D77" s="159" t="s">
        <v>331</v>
      </c>
      <c r="E77" s="213">
        <f>2400-E66-E65-E67-E69-E70-E71-E72-E73-E74-E75-E76</f>
        <v>2064</v>
      </c>
      <c r="F77" s="2" t="s">
        <v>32</v>
      </c>
      <c r="G77" s="2" t="s">
        <v>32</v>
      </c>
      <c r="H77" s="2">
        <v>0</v>
      </c>
      <c r="I77" s="158">
        <v>46023</v>
      </c>
      <c r="J77" s="2">
        <v>4</v>
      </c>
      <c r="K77" s="158">
        <v>46023</v>
      </c>
      <c r="L77" s="158"/>
      <c r="N77" s="3"/>
      <c r="P77" s="3">
        <v>1600</v>
      </c>
      <c r="Q77" s="3">
        <f t="shared" si="7"/>
        <v>3302400</v>
      </c>
    </row>
    <row r="78" spans="1:17" x14ac:dyDescent="0.2">
      <c r="A78" s="2">
        <v>2025</v>
      </c>
      <c r="C78" s="2" t="s">
        <v>42</v>
      </c>
      <c r="D78" s="159" t="s">
        <v>331</v>
      </c>
      <c r="E78" s="2">
        <f>0.7*8000-4800-E79-E80-E68</f>
        <v>286.49999999999994</v>
      </c>
      <c r="F78" s="2" t="s">
        <v>32</v>
      </c>
      <c r="G78" s="2" t="s">
        <v>32</v>
      </c>
      <c r="H78" s="2">
        <v>0</v>
      </c>
      <c r="I78" s="158">
        <v>46023</v>
      </c>
      <c r="J78" s="2">
        <v>4</v>
      </c>
      <c r="K78" s="158">
        <v>46023</v>
      </c>
      <c r="L78" s="155">
        <v>325</v>
      </c>
      <c r="M78" s="155">
        <f>(L78+H78)*1.3228</f>
        <v>429.90999999999997</v>
      </c>
      <c r="N78" s="3">
        <f>M78*E78</f>
        <v>123169.21499999997</v>
      </c>
    </row>
    <row r="79" spans="1:17" x14ac:dyDescent="0.2">
      <c r="A79" s="2">
        <v>2025</v>
      </c>
      <c r="C79" s="2" t="s">
        <v>42</v>
      </c>
      <c r="D79" s="159" t="s">
        <v>331</v>
      </c>
      <c r="E79" s="2">
        <v>64.5</v>
      </c>
      <c r="F79" s="2" t="s">
        <v>32</v>
      </c>
      <c r="G79" s="2" t="s">
        <v>32</v>
      </c>
      <c r="H79" s="2">
        <v>0</v>
      </c>
      <c r="I79" s="158">
        <v>46023</v>
      </c>
      <c r="J79" s="2">
        <v>1</v>
      </c>
      <c r="K79" s="158">
        <v>46023</v>
      </c>
      <c r="L79" s="155">
        <v>330</v>
      </c>
      <c r="M79" s="155">
        <f>(L79+H79)*1.3228</f>
        <v>436.524</v>
      </c>
      <c r="N79" s="3">
        <f>M79*E79</f>
        <v>28155.797999999999</v>
      </c>
    </row>
    <row r="80" spans="1:17" x14ac:dyDescent="0.2">
      <c r="A80" s="2">
        <v>2025</v>
      </c>
      <c r="C80" s="2" t="s">
        <v>42</v>
      </c>
      <c r="D80" s="159" t="s">
        <v>331</v>
      </c>
      <c r="E80" s="213">
        <f>449-E68</f>
        <v>115.66666666666669</v>
      </c>
      <c r="F80" s="2" t="s">
        <v>32</v>
      </c>
      <c r="G80" s="2" t="s">
        <v>32</v>
      </c>
      <c r="H80" s="2">
        <v>0</v>
      </c>
      <c r="I80" s="158">
        <v>46082</v>
      </c>
      <c r="J80" s="2">
        <v>1</v>
      </c>
      <c r="K80" s="158">
        <v>46082</v>
      </c>
      <c r="L80" s="155">
        <v>325</v>
      </c>
      <c r="M80" s="155">
        <f>(L80+H80)*1.3228</f>
        <v>429.90999999999997</v>
      </c>
      <c r="N80" s="3">
        <f>M80*E80</f>
        <v>49726.256666666668</v>
      </c>
    </row>
  </sheetData>
  <autoFilter ref="A1:Q80" xr:uid="{E433115D-D1E6-C943-B0EC-2BC4BD1B44BA}">
    <sortState xmlns:xlrd2="http://schemas.microsoft.com/office/spreadsheetml/2017/richdata2" ref="A2:Q80">
      <sortCondition ref="B1:B80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45992</v>
      </c>
    </row>
    <row r="2" spans="1:4" x14ac:dyDescent="0.2">
      <c r="A2" s="158">
        <v>46021</v>
      </c>
      <c r="B2" s="155">
        <v>407.1</v>
      </c>
      <c r="C2" s="155">
        <f t="shared" ref="C2:C11" si="0">B2*1.3228</f>
        <v>538.51188000000002</v>
      </c>
    </row>
    <row r="3" spans="1:4" x14ac:dyDescent="0.2">
      <c r="A3" s="158">
        <v>46112</v>
      </c>
      <c r="B3" s="155">
        <v>375.6</v>
      </c>
      <c r="C3" s="155">
        <f t="shared" si="0"/>
        <v>496.84368000000001</v>
      </c>
    </row>
    <row r="4" spans="1:4" x14ac:dyDescent="0.2">
      <c r="A4" s="158">
        <v>46173</v>
      </c>
      <c r="B4" s="155">
        <v>358.65</v>
      </c>
      <c r="C4" s="155">
        <f t="shared" si="0"/>
        <v>474.42221999999998</v>
      </c>
    </row>
    <row r="5" spans="1:4" x14ac:dyDescent="0.2">
      <c r="A5" s="158">
        <v>46231</v>
      </c>
      <c r="B5" s="155">
        <v>344.65</v>
      </c>
      <c r="C5" s="155">
        <f t="shared" si="0"/>
        <v>455.90301999999997</v>
      </c>
    </row>
    <row r="6" spans="1:4" x14ac:dyDescent="0.2">
      <c r="A6" s="158">
        <v>46295</v>
      </c>
      <c r="B6" s="155">
        <v>332.75</v>
      </c>
      <c r="C6" s="155">
        <f t="shared" si="0"/>
        <v>440.1617</v>
      </c>
    </row>
    <row r="7" spans="1:4" x14ac:dyDescent="0.2">
      <c r="A7" s="158">
        <v>46386</v>
      </c>
      <c r="B7" s="155">
        <v>324.8</v>
      </c>
      <c r="C7" s="155">
        <f t="shared" si="0"/>
        <v>429.64544000000001</v>
      </c>
    </row>
    <row r="8" spans="1:4" x14ac:dyDescent="0.2">
      <c r="A8" s="158">
        <v>46477</v>
      </c>
      <c r="B8" s="155">
        <v>325.89999999999998</v>
      </c>
      <c r="C8" s="155">
        <f t="shared" si="0"/>
        <v>431.10051999999996</v>
      </c>
    </row>
    <row r="9" spans="1:4" x14ac:dyDescent="0.2">
      <c r="A9" s="158">
        <v>46538</v>
      </c>
      <c r="B9" s="155">
        <v>322.7</v>
      </c>
      <c r="C9" s="155">
        <f t="shared" si="0"/>
        <v>426.86755999999997</v>
      </c>
    </row>
    <row r="10" spans="1:4" x14ac:dyDescent="0.2">
      <c r="A10" s="158">
        <v>46596</v>
      </c>
      <c r="B10" s="155">
        <v>318.89999999999998</v>
      </c>
      <c r="C10" s="155">
        <f t="shared" si="0"/>
        <v>421.84091999999998</v>
      </c>
    </row>
    <row r="11" spans="1:4" x14ac:dyDescent="0.2">
      <c r="A11" s="158">
        <v>46660</v>
      </c>
      <c r="B11" s="155">
        <v>314.64999999999998</v>
      </c>
      <c r="C11" s="155">
        <f t="shared" si="0"/>
        <v>416.21901999999994</v>
      </c>
    </row>
    <row r="12" spans="1:4" x14ac:dyDescent="0.2">
      <c r="A12" s="158">
        <v>46751</v>
      </c>
      <c r="B12" s="155">
        <v>309.35000000000002</v>
      </c>
      <c r="C12" s="155">
        <f>B12*1.3228</f>
        <v>409.20818000000003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workbookViewId="0">
      <pane ySplit="1" topLeftCell="A21" activePane="bottomLeft" state="frozen"/>
      <selection pane="bottomLeft" activeCell="L22" sqref="L22:L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>N4/M4</f>
        <v>-432777.9808400122</v>
      </c>
      <c r="M4" s="160">
        <v>5.7694000000000001</v>
      </c>
      <c r="N4" s="215">
        <v>-2496869.2826583665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>N5/M5</f>
        <v>-855160.98786707607</v>
      </c>
      <c r="M5" s="160">
        <v>5.7694000000000001</v>
      </c>
      <c r="N5" s="215">
        <v>-4933765.8034003088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160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2" t="s">
        <v>296</v>
      </c>
      <c r="B22" s="222" t="s">
        <v>329</v>
      </c>
      <c r="C22" s="223">
        <v>29487625</v>
      </c>
      <c r="D22" s="224">
        <f t="shared" si="0"/>
        <v>1701</v>
      </c>
      <c r="E22" s="224" t="s">
        <v>345</v>
      </c>
      <c r="F22" s="225">
        <v>6</v>
      </c>
      <c r="G22" s="225">
        <v>325</v>
      </c>
      <c r="H22" s="225">
        <f>futuros!B3</f>
        <v>375.6</v>
      </c>
      <c r="I22" s="223"/>
      <c r="J22" s="226">
        <v>46063</v>
      </c>
      <c r="K22" s="226"/>
      <c r="L22" s="227">
        <f t="shared" si="2"/>
        <v>-113854.18968000004</v>
      </c>
      <c r="M22" s="228"/>
      <c r="N22" s="227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324.8</v>
      </c>
      <c r="I23" s="2"/>
      <c r="J23" s="162">
        <v>46345</v>
      </c>
      <c r="K23" s="162"/>
      <c r="L23" s="215">
        <f t="shared" si="2"/>
        <v>-81002.980800000005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324.8</v>
      </c>
      <c r="I24" s="2"/>
      <c r="J24" s="162">
        <v>46345</v>
      </c>
      <c r="K24" s="162"/>
      <c r="L24" s="215">
        <f t="shared" si="2"/>
        <v>-7200.2649600001023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324.8</v>
      </c>
      <c r="I25" s="2"/>
      <c r="J25" s="162">
        <v>46345</v>
      </c>
      <c r="K25" s="162"/>
      <c r="L25" s="215">
        <f t="shared" si="2"/>
        <v>-52801.943040000071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324.8</v>
      </c>
      <c r="I26" s="208"/>
      <c r="J26" s="219">
        <v>46345</v>
      </c>
      <c r="K26" s="219"/>
      <c r="L26" s="220">
        <f t="shared" si="2"/>
        <v>-386414.2195200001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309.35000000000002</v>
      </c>
      <c r="I27" s="2"/>
      <c r="J27" s="162">
        <v>46710</v>
      </c>
      <c r="K27" s="162"/>
      <c r="L27" s="215">
        <f t="shared" si="2"/>
        <v>-248952.91113000008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309.35000000000002</v>
      </c>
      <c r="I28" s="2"/>
      <c r="J28" s="162">
        <v>46710</v>
      </c>
      <c r="K28" s="162"/>
      <c r="L28" s="215">
        <f t="shared" ref="L28" si="7">D28*(G28-H28)*1.3228</f>
        <v>-223058.20824000007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309.35000000000002</v>
      </c>
      <c r="I29" s="2"/>
      <c r="J29" s="162">
        <v>46710</v>
      </c>
      <c r="K29" s="162"/>
      <c r="L29" s="215">
        <f t="shared" ref="L29" si="9">D29*(G29-H29)*1.3228</f>
        <v>-109410.27615000003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309.35000000000002</v>
      </c>
      <c r="I30" s="2"/>
      <c r="J30" s="162">
        <v>46710</v>
      </c>
      <c r="K30" s="162"/>
      <c r="L30" s="215">
        <f t="shared" ref="L30" si="11">D30*(G30-H30)*1.3228</f>
        <v>-86909.44815000004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309.35000000000002</v>
      </c>
      <c r="I31" s="2"/>
      <c r="J31" s="162">
        <v>46710</v>
      </c>
      <c r="K31" s="162"/>
      <c r="L31" s="215">
        <f t="shared" ref="L31" si="13">D31*(G31-H31)*1.3228</f>
        <v>-11419.170210000058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2025-12-01T15:36:37Z</dcterms:modified>
</cp:coreProperties>
</file>