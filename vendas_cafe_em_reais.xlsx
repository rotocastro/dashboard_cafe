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A415B8E2-3D36-EC4E-A522-1B95010FDFFC}" xr6:coauthVersionLast="47" xr6:coauthVersionMax="47" xr10:uidLastSave="{00000000-0000-0000-0000-000000000000}"/>
  <bookViews>
    <workbookView xWindow="3680" yWindow="660" windowWidth="25720" windowHeight="18460" activeTab="2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Sheet2!$A$1:$Q$83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9" i="2" l="1"/>
  <c r="K78" i="2"/>
  <c r="K77" i="2"/>
  <c r="K76" i="2"/>
  <c r="C13" i="14"/>
  <c r="E80" i="2"/>
  <c r="Q79" i="2"/>
  <c r="Q78" i="2"/>
  <c r="Q77" i="2"/>
  <c r="Q76" i="2"/>
  <c r="Q75" i="2"/>
  <c r="K75" i="2"/>
  <c r="L5" i="17"/>
  <c r="L4" i="17"/>
  <c r="L2" i="17"/>
  <c r="Q74" i="2"/>
  <c r="Q73" i="2"/>
  <c r="Q72" i="2"/>
  <c r="Q71" i="2"/>
  <c r="K74" i="2"/>
  <c r="K73" i="2"/>
  <c r="K72" i="2"/>
  <c r="K71" i="2"/>
  <c r="H31" i="17"/>
  <c r="D31" i="17"/>
  <c r="L31" i="17" l="1"/>
  <c r="M16" i="17" l="1"/>
  <c r="N16" i="17"/>
  <c r="N3" i="17" l="1"/>
  <c r="N6" i="17"/>
  <c r="N7" i="17"/>
  <c r="N8" i="17"/>
  <c r="N9" i="17"/>
  <c r="N10" i="17"/>
  <c r="N11" i="17"/>
  <c r="N12" i="17"/>
  <c r="N13" i="17"/>
  <c r="N14" i="17"/>
  <c r="N15" i="17"/>
  <c r="N17" i="17"/>
  <c r="N18" i="17"/>
  <c r="N2" i="17"/>
  <c r="L21" i="17"/>
  <c r="D21" i="17"/>
  <c r="D16" i="17"/>
  <c r="L16" i="17" s="1"/>
  <c r="P46" i="2" l="1"/>
  <c r="Q46" i="2" s="1"/>
  <c r="M48" i="2"/>
  <c r="N48" i="2" s="1"/>
  <c r="L68" i="2"/>
  <c r="P36" i="2"/>
  <c r="Q36" i="2" s="1"/>
  <c r="Q70" i="2"/>
  <c r="Q69" i="2"/>
  <c r="K70" i="2"/>
  <c r="K69" i="2"/>
  <c r="E68" i="2"/>
  <c r="E83" i="2" s="1"/>
  <c r="E81" i="2" s="1"/>
  <c r="Q67" i="2"/>
  <c r="Q66" i="2"/>
  <c r="H30" i="17"/>
  <c r="D30" i="17"/>
  <c r="Q65" i="2"/>
  <c r="Q63" i="2"/>
  <c r="N64" i="2"/>
  <c r="K29" i="2"/>
  <c r="K28" i="2"/>
  <c r="N56" i="2"/>
  <c r="N55" i="2"/>
  <c r="N54" i="2"/>
  <c r="N53" i="2"/>
  <c r="N6" i="2"/>
  <c r="M57" i="2"/>
  <c r="N57" i="2" s="1"/>
  <c r="K62" i="2"/>
  <c r="K61" i="2"/>
  <c r="K60" i="2"/>
  <c r="K59" i="2"/>
  <c r="K58" i="2"/>
  <c r="K57" i="2"/>
  <c r="K52" i="2"/>
  <c r="K51" i="2"/>
  <c r="K50" i="2"/>
  <c r="K49" i="2"/>
  <c r="K48" i="2"/>
  <c r="K46" i="2"/>
  <c r="H29" i="17"/>
  <c r="D29" i="17"/>
  <c r="H28" i="17"/>
  <c r="D28" i="17"/>
  <c r="F18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N68" i="2" l="1"/>
  <c r="L30" i="17"/>
  <c r="L28" i="17"/>
  <c r="L29" i="17"/>
  <c r="L15" i="17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83" i="2"/>
  <c r="N83" i="2" s="1"/>
  <c r="M82" i="2"/>
  <c r="N82" i="2" s="1"/>
  <c r="M81" i="2"/>
  <c r="N81" i="2" s="1"/>
  <c r="Q80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7" i="17"/>
  <c r="C12" i="14"/>
  <c r="H26" i="17"/>
  <c r="H25" i="17"/>
  <c r="H24" i="17"/>
  <c r="H23" i="17"/>
  <c r="H22" i="17"/>
  <c r="D17" i="17"/>
  <c r="D18" i="17"/>
  <c r="D24" i="17"/>
  <c r="D25" i="17"/>
  <c r="D3" i="17"/>
  <c r="L3" i="17" s="1"/>
  <c r="D4" i="17"/>
  <c r="D5" i="17"/>
  <c r="D6" i="17"/>
  <c r="L6" i="17" s="1"/>
  <c r="D7" i="17"/>
  <c r="L7" i="17" s="1"/>
  <c r="D8" i="17"/>
  <c r="L8" i="17" s="1"/>
  <c r="D10" i="17"/>
  <c r="L10" i="17" s="1"/>
  <c r="D11" i="17"/>
  <c r="L11" i="17" s="1"/>
  <c r="D13" i="17"/>
  <c r="L13" i="17" s="1"/>
  <c r="D14" i="17"/>
  <c r="D2" i="17"/>
  <c r="F27" i="17"/>
  <c r="D27" i="17" s="1"/>
  <c r="F26" i="17"/>
  <c r="D26" i="17" s="1"/>
  <c r="F23" i="17"/>
  <c r="D23" i="17" s="1"/>
  <c r="D22" i="17"/>
  <c r="D20" i="17"/>
  <c r="L20" i="17" s="1"/>
  <c r="F19" i="17"/>
  <c r="D19" i="17" s="1"/>
  <c r="M14" i="17"/>
  <c r="H14" i="17"/>
  <c r="F12" i="17"/>
  <c r="D12" i="17" s="1"/>
  <c r="L12" i="17" s="1"/>
  <c r="F9" i="17"/>
  <c r="D9" i="17" s="1"/>
  <c r="L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4" i="17" l="1"/>
  <c r="L26" i="17"/>
  <c r="L27" i="17"/>
  <c r="L19" i="17"/>
  <c r="L23" i="17"/>
  <c r="L17" i="17"/>
  <c r="L22" i="17"/>
  <c r="L18" i="17"/>
  <c r="L25" i="17"/>
  <c r="L24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<sst xmlns="http://schemas.openxmlformats.org/spreadsheetml/2006/main" count="1024" uniqueCount="368">
  <si>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</si>
  <si>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</si>
  <si>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</si>
  <si>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</si>
  <si>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</si>
  <si>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</si>
  <si>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</si>
  <si>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</si>
  <si>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</si>
  <si>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</si>
  <si>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</si>
  <si>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</si>
  <si>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</si>
  <si>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</si>
  <si>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</si>
  <si>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</si>
  <si>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</si>
  <si>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</si>
  <si>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</si>
  <si>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</si>
  <si>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</si>
  <si>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</si>
  <si>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</si>
  <si>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</si>
  <si>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</si>
  <si>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</si>
  <si>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</si>
  <si>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</si>
  <si>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</si>
  <si>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</si>
  <si>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</si>
  <si>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</si>
  <si>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</si>
  <si>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</si>
  <si>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</si>
  <si>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</si>
  <si>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</si>
  <si>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</si>
  <si>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</si>
  <si>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</si>
  <si>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</si>
  <si>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</si>
  <si>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</si>
  <si>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</si>
  <si>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</si>
  <si>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</si>
  <si>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</si>
  <si>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</si>
  <si>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</si>
  <si>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</si>
  <si>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</si>
  <si>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</si>
  <si>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</si>
  <si>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</si>
  <si>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</si>
  <si>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</si>
  <si>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</si>
  <si>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</si>
  <si>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</si>
  <si>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</si>
  <si>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</si>
  <si>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</si>
  <si>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</si>
  <si>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</si>
  <si>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</si>
  <si>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</si>
  <si>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</si>
  <si>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</si>
  <si>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</si>
  <si>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</si>
  <si>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</si>
  <si>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</si>
  <si>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</si>
  <si>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</si>
  <si>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</si>
  <si>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</si>
  <si>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</si>
  <si>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</si>
  <si>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</si>
  <si>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</si>
  <si>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</si>
  <si>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</si>
  <si>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</si>
  <si>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</si>
  <si>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</si>
  <si>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</si>
  <si>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</si>
  <si>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</si>
  <si>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</si>
  <si>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</si>
  <si>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</si>
  <si>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</si>
  <si>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</si>
  <si>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</si>
  <si>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</si>
  <si>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</si>
  <si>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</si>
  <si>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</si>
  <si>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</si>
  <si>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</si>
  <si>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</si>
  <si>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</si>
  <si>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</si>
  <si>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</si>
  <si>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</si>
  <si>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</si>
  <si>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</si>
  <si>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</si>
  <si>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</si>
  <si>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</si>
  <si>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</si>
  <si>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</si>
  <si>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</si>
  <si>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</si>
  <si>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</si>
  <si>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</si>
  <si>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</si>
  <si>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</si>
  <si>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</si>
  <si>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</si>
  <si>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</si>
  <si>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</si>
  <si>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</si>
  <si>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</si>
  <si>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</si>
  <si>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</si>
  <si>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</si>
  <si>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</si>
  <si>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</si>
  <si>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</si>
  <si>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</si>
  <si>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</si>
  <si>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</si>
  <si>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</si>
  <si>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</si>
  <si>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</si>
  <si>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</si>
  <si>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</si>
  <si>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</si>
  <si>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</si>
  <si>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</si>
  <si>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</si>
  <si>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</si>
  <si>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</si>
  <si>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</si>
  <si>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</si>
  <si>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</si>
  <si>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</si>
  <si>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</si>
  <si>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</si>
  <si>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</si>
  <si>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</si>
  <si>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</si>
  <si>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</si>
  <si>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</si>
  <si>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</si>
  <si>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</si>
  <si>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</si>
  <si>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</si>
  <si>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</si>
  <si>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</si>
  <si>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</si>
  <si>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</si>
  <si>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</si>
  <si>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</si>
  <si>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</si>
  <si>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</si>
  <si>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</si>
  <si>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</si>
  <si>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</si>
  <si>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</si>
  <si>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</si>
  <si>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</si>
  <si>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</si>
  <si>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</si>
  <si>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</si>
  <si>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</si>
  <si>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</si>
  <si>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</si>
  <si>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</si>
  <si>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</si>
  <si>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</si>
  <si>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</si>
  <si>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</si>
  <si>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</si>
  <si>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</si>
  <si>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</si>
  <si>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</si>
  <si>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</si>
  <si>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</si>
  <si>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</si>
  <si>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</si>
  <si>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</si>
  <si>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</si>
  <si>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</si>
  <si>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</si>
  <si>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</si>
  <si>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</si>
  <si>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</si>
  <si>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</si>
  <si>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</si>
  <si>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</si>
  <si>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</si>
  <si>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</si>
  <si>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</si>
  <si>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</si>
  <si>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</si>
  <si>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</si>
  <si>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</si>
  <si>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</si>
  <si>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</si>
  <si>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</si>
  <si>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</si>
  <si>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</si>
  <si>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</si>
  <si>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</si>
  <si>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</si>
  <si>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</si>
  <si>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</si>
  <si>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</si>
  <si>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</si>
  <si>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</si>
  <si>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</si>
  <si>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</si>
  <si>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</si>
  <si>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</si>
  <si>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</si>
  <si>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</si>
  <si>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</si>
  <si>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</si>
  <si>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</si>
  <si>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</si>
  <si>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</si>
  <si>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</si>
  <si>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</si>
  <si>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</si>
  <si>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</si>
  <si>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</si>
  <si>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</si>
  <si>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</si>
  <si>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</si>
  <si>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</si>
  <si>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</si>
  <si>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</si>
  <si>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</si>
  <si>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</si>
  <si>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</si>
  <si>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</si>
  <si>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</si>
  <si>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</si>
  <si>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</si>
  <si>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</si>
  <si>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</si>
  <si>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</si>
  <si>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</si>
  <si>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</si>
  <si>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</si>
  <si>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</si>
  <si>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</si>
  <si>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</si>
  <si>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</si>
  <si>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</si>
  <si>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</si>
  <si>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</si>
  <si>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</si>
  <si>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</si>
  <si>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</si>
  <si>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</si>
  <si>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</si>
  <si>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</si>
  <si>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</si>
  <si>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</si>
  <si>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</si>
  <si>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</si>
  <si>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</si>
  <si>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</si>
  <si>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</si>
  <si>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</si>
  <si>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</si>
  <si>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</si>
  <si>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</si>
  <si>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</si>
  <si>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</si>
  <si>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</si>
  <si>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</si>
  <si>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</si>
  <si>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</si>
  <si>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</si>
  <si>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</si>
  <si>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</si>
  <si>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</si>
  <si>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</si>
  <si>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</si>
  <si>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</si>
  <si>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</si>
  <si>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</si>
  <si>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</si>
  <si>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</si>
  <si>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</si>
  <si>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</si>
  <si>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</si>
  <si>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</si>
  <si>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</si>
  <si>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</si>
  <si>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</si>
  <si>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</si>
  <si>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</si>
  <si>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</si>
  <si>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</si>
  <si>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</si>
  <si>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</si>
  <si>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</si>
  <si>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</si>
  <si>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</si>
  <si>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</si>
  <si>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</si>
  <si>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</si>
  <si>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</si>
  <si>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</si>
  <si>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</si>
  <si>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</si>
  <si>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</si>
  <si>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</si>
  <si>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</si>
  <si>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</si>
  <si>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</si>
  <si>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</si>
  <si>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</si>
  <si>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</si>
  <si>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</si>
  <si>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</si>
  <si>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</si>
  <si>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</si>
  <si>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</si>
  <si>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</si>
  <si>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</si>
  <si>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</si>
  <si>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</si>
  <si>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</si>
  <si>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</si>
  <si>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</si>
  <si>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</si>
  <si>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</si>
  <si>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</si>
  <si>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</si>
  <si>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</si>
  <si>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</si>
  <si>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</si>
  <si>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</si>
  <si>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</si>
  <si>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</si>
  <si>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</si>
  <si>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</si>
  <si>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</si>
  <si>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</si>
  <si>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</si>
  <si>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</si>
  <si>
    <t>075/25</t>
  </si>
  <si>
    <t>076/25</t>
  </si>
  <si>
    <t>077/25</t>
  </si>
  <si>
    <t>078/25</t>
  </si>
  <si>
    <t>WWTrading Worldwide</t>
  </si>
  <si>
    <t>079/25</t>
  </si>
  <si>
    <t>080/25</t>
  </si>
  <si>
    <t>Café 3 Corações</t>
  </si>
  <si>
    <t>081/25</t>
  </si>
  <si>
    <t>082/25</t>
  </si>
  <si>
    <t>083/25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</si>
</sst>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2" xfId="0" applyFont="1" applyFill="1" applyBorder="1" applyAlignment="1">
      <alignment horizontal="center"/>
    </xf>
    <xf numFmtId="1" fontId="2" fillId="2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168" fontId="20" fillId="2" borderId="12" xfId="0" applyNumberFormat="1" applyFont="1" applyFill="1" applyBorder="1" applyAlignment="1">
      <alignment horizontal="center"/>
    </xf>
    <xf numFmtId="165" fontId="2" fillId="2" borderId="12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351.9</v>
      </c>
      <c r="M6" s="177">
        <f>(L6+H6)*1.3228</f>
        <v>505.17731999999995</v>
      </c>
      <c r="N6" s="167">
        <f>(E6*(M6+H6))</f>
        <v>171256.74239999999</v>
      </c>
      <c r="O6" s="178">
        <v>5.7</v>
      </c>
      <c r="P6" s="167">
        <f t="shared" ref="P6:P16" si="1">M6*O6</f>
        <v>2879.5107239999998</v>
      </c>
      <c r="Q6" s="167">
        <f t="shared" ref="Q6:Q16" si="2">P6*E6</f>
        <v>921443.43167999992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351.9</v>
      </c>
      <c r="M7" s="177">
        <f>(L7+H7)*1.3228</f>
        <v>505.17731999999995</v>
      </c>
      <c r="N7" s="167">
        <f>(E7*(M7+H7))</f>
        <v>171256.74239999999</v>
      </c>
      <c r="O7" s="178">
        <v>5.7</v>
      </c>
      <c r="P7" s="167">
        <f t="shared" si="1"/>
        <v>2879.5107239999998</v>
      </c>
      <c r="Q7" s="167">
        <f t="shared" si="2"/>
        <v>921443.43167999992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351.9</v>
      </c>
      <c r="M8" s="177">
        <f>(L8+H8)*1.3228</f>
        <v>505.17731999999995</v>
      </c>
      <c r="N8" s="167">
        <f>(E8*(M8+H8))</f>
        <v>171256.74239999999</v>
      </c>
      <c r="O8" s="178">
        <v>5.7</v>
      </c>
      <c r="P8" s="167">
        <f t="shared" si="1"/>
        <v>2879.5107239999998</v>
      </c>
      <c r="Q8" s="167">
        <f t="shared" si="2"/>
        <v>921443.43167999992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351.9</v>
      </c>
      <c r="M9" s="177">
        <f>(L9+H9)*1.3228</f>
        <v>505.17731999999995</v>
      </c>
      <c r="N9" s="167">
        <f>(E9*(M9+H9))</f>
        <v>171256.74239999999</v>
      </c>
      <c r="O9" s="178">
        <v>5.7</v>
      </c>
      <c r="P9" s="167">
        <f t="shared" si="1"/>
        <v>2879.5107239999998</v>
      </c>
      <c r="Q9" s="167">
        <f t="shared" si="2"/>
        <v>921443.43167999992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345.15</v>
      </c>
      <c r="M10" s="177">
        <f>(L10+H10)*1.3228</f>
        <v>496.24841999999995</v>
      </c>
      <c r="N10" s="167">
        <f>(E10*(M10+H10))</f>
        <v>168399.49439999997</v>
      </c>
      <c r="O10" s="178">
        <v>5.7</v>
      </c>
      <c r="P10" s="167">
        <f t="shared" si="1"/>
        <v>2828.6159939999998</v>
      </c>
      <c r="Q10" s="167">
        <f t="shared" si="2"/>
        <v>905157.11807999993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351.9</v>
      </c>
      <c r="M11" s="177">
        <f t="shared" ref="M11:M16" si="4">(L11+H11)*1.3228</f>
        <v>502.53171999999995</v>
      </c>
      <c r="N11" s="167">
        <f t="shared" ref="N11:N16" si="5">(E11*(M11+H11))</f>
        <v>169770.15039999998</v>
      </c>
      <c r="O11" s="178">
        <v>5.7</v>
      </c>
      <c r="P11" s="167">
        <f t="shared" si="1"/>
        <v>2864.4308039999996</v>
      </c>
      <c r="Q11" s="167">
        <f t="shared" si="2"/>
        <v>916617.85727999988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351.9</v>
      </c>
      <c r="M12" s="177">
        <f t="shared" si="4"/>
        <v>502.53171999999995</v>
      </c>
      <c r="N12" s="167">
        <f t="shared" si="5"/>
        <v>169770.15039999998</v>
      </c>
      <c r="O12" s="178">
        <v>5.7</v>
      </c>
      <c r="P12" s="167">
        <f t="shared" si="1"/>
        <v>2864.4308039999996</v>
      </c>
      <c r="Q12" s="167">
        <f t="shared" si="2"/>
        <v>916617.85727999988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345.15</v>
      </c>
      <c r="M13" s="177">
        <f t="shared" si="4"/>
        <v>493.60281999999995</v>
      </c>
      <c r="N13" s="167">
        <f t="shared" si="5"/>
        <v>166912.90239999999</v>
      </c>
      <c r="O13" s="178">
        <v>5.7</v>
      </c>
      <c r="P13" s="167">
        <f t="shared" si="1"/>
        <v>2813.5360739999996</v>
      </c>
      <c r="Q13" s="167">
        <f t="shared" si="2"/>
        <v>900331.54367999989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330.85</v>
      </c>
      <c r="M14" s="177">
        <f t="shared" si="4"/>
        <v>474.68678</v>
      </c>
      <c r="N14" s="167">
        <f t="shared" si="5"/>
        <v>160859.7696</v>
      </c>
      <c r="O14" s="178">
        <v>5.7</v>
      </c>
      <c r="P14" s="167">
        <f t="shared" si="1"/>
        <v>2705.7146459999999</v>
      </c>
      <c r="Q14" s="167">
        <f t="shared" si="2"/>
        <v>865828.68672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345.15</v>
      </c>
      <c r="M15" s="177">
        <f t="shared" si="4"/>
        <v>427.46281999999997</v>
      </c>
      <c r="N15" s="167">
        <f t="shared" si="5"/>
        <v>129748.10239999999</v>
      </c>
      <c r="O15" s="178">
        <v>5.7</v>
      </c>
      <c r="P15" s="167">
        <f t="shared" si="1"/>
        <v>2436.5380740000001</v>
      </c>
      <c r="Q15" s="167">
        <f t="shared" si="2"/>
        <v>779692.18368000002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351.9</v>
      </c>
      <c r="M16" s="177">
        <f t="shared" si="4"/>
        <v>535.60172</v>
      </c>
      <c r="N16" s="167">
        <f t="shared" si="5"/>
        <v>188352.55040000001</v>
      </c>
      <c r="O16" s="178">
        <v>5.7</v>
      </c>
      <c r="P16" s="167">
        <f t="shared" si="1"/>
        <v>3052.9298039999999</v>
      </c>
      <c r="Q16" s="167">
        <f t="shared" si="2"/>
        <v>976937.53727999993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517.09823428571417</v>
      </c>
      <c r="N19" s="183">
        <f>SUM(N5:N18)</f>
        <v>2316600.0895999996</v>
      </c>
      <c r="O19" s="184"/>
      <c r="P19" s="185">
        <f>Q19/E19</f>
        <v>2828.1670782857141</v>
      </c>
      <c r="Q19" s="183">
        <f>SUM(Q5:Q18)</f>
        <v>12670188.51072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351.9</v>
      </c>
      <c r="K25" s="163"/>
      <c r="L25" s="197">
        <v>45973</v>
      </c>
      <c r="M25" s="163"/>
      <c r="N25" s="198">
        <f>(H25-I25)*1.3228*D25</f>
        <v>-1147665.9825539999</v>
      </c>
      <c r="O25" s="178">
        <f>O5</f>
        <v>5.7</v>
      </c>
      <c r="Q25" s="198">
        <f>N25*O25</f>
        <v>-6541696.1005577995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351.9</v>
      </c>
      <c r="K26" s="163"/>
      <c r="L26" s="197">
        <v>45973</v>
      </c>
      <c r="M26" s="163"/>
      <c r="N26" s="198">
        <f>(H26-I26)*1.3228*D26</f>
        <v>-408990.05027999997</v>
      </c>
      <c r="O26" s="178">
        <f>O6</f>
        <v>5.7</v>
      </c>
      <c r="Q26" s="198">
        <f t="shared" ref="Q26:Q27" si="6">N26*O26</f>
        <v>-2331243.2865959997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351.9</v>
      </c>
      <c r="K27" s="163"/>
      <c r="L27" s="197">
        <v>45980</v>
      </c>
      <c r="M27" s="163"/>
      <c r="N27" s="198">
        <f>(H27-I27)*1.3228*D27</f>
        <v>-515576.47251599992</v>
      </c>
      <c r="O27" s="178">
        <f>O7</f>
        <v>5.7</v>
      </c>
      <c r="Q27" s="198">
        <f t="shared" si="6"/>
        <v>-2938785.8933411995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-2072232.5053499998</v>
      </c>
      <c r="O28" s="201"/>
      <c r="P28" s="201"/>
      <c r="Q28" s="202">
        <f>SUM(Q25:Q27)</f>
        <v>-11811725.280494999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310.85000000000002</v>
      </c>
      <c r="K57" s="178">
        <f>O8</f>
        <v>5.7</v>
      </c>
      <c r="L57" s="197">
        <v>46345</v>
      </c>
      <c r="M57" s="198"/>
      <c r="N57" s="198">
        <f>(H57-I57)*1.3228*D57</f>
        <v>-33919.998210000034</v>
      </c>
      <c r="O57" s="166">
        <f>O25</f>
        <v>5.7</v>
      </c>
      <c r="Q57" s="198">
        <f>N57*O57</f>
        <v>-193343.98979700019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310.85000000000002</v>
      </c>
      <c r="K58" s="178">
        <f>O9</f>
        <v>5.7</v>
      </c>
      <c r="L58" s="197">
        <v>46345</v>
      </c>
      <c r="M58" s="198"/>
      <c r="N58" s="198">
        <f>(H58-I58)*1.3228*D58</f>
        <v>34651.27511999986</v>
      </c>
      <c r="O58" s="166">
        <f>O26</f>
        <v>5.7</v>
      </c>
      <c r="Q58" s="198">
        <f>N58*O58</f>
        <v>197512.2681839992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731.27690999982588</v>
      </c>
      <c r="O59" s="201"/>
      <c r="P59" s="201"/>
      <c r="Q59" s="202">
        <f>SUM(Q56:Q58)</f>
        <v>4168.2783869990089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 filterMode="1"/>
  <dimension ref="A1:T83"/>
  <sheetViews>
    <sheetView zoomScale="80" zoomScaleNormal="80" workbookViewId="0">
      <pane ySplit="1" topLeftCell="A2" activePane="bottomLeft" state="frozen"/>
      <selection pane="bottomLeft" activeCell="Q77" sqref="Q77:Q79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hidden="1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hidden="1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hidden="1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hidden="1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hidden="1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hidden="1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hidden="1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hidden="1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hidden="1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hidden="1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hidden="1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hidden="1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hidden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hidden="1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hidden="1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hidden="1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hidden="1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hidden="1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hidden="1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hidden="1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hidden="1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hidden="1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hidden="1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hidden="1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hidden="1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hidden="1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hidden="1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hidden="1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hidden="1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hidden="1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hidden="1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hidden="1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hidden="1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hidden="1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hidden="1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hidden="1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hidden="1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hidden="1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hidden="1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hidden="1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hidden="1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hidden="1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hidden="1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hidden="1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hidden="1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  <c r="O46" s="160">
        <v>5.3209999999999997</v>
      </c>
      <c r="P46" s="3">
        <f>M46*O46</f>
        <v>2687.105</v>
      </c>
      <c r="Q46" s="3">
        <f>P46*E46</f>
        <v>859873.6</v>
      </c>
    </row>
    <row r="47" spans="1:20" hidden="1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45953</v>
      </c>
      <c r="J48" s="2">
        <v>1</v>
      </c>
      <c r="K48" s="158">
        <f>I48+65</f>
        <v>46018</v>
      </c>
      <c r="L48" s="155">
        <v>402</v>
      </c>
      <c r="M48" s="155">
        <f>(L48+H48)*1.3228</f>
        <v>571.44960000000003</v>
      </c>
      <c r="N48" s="3">
        <f t="shared" ref="N48:N62" si="4">M48*E48</f>
        <v>182863.872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45953</v>
      </c>
      <c r="J49" s="2">
        <v>1</v>
      </c>
      <c r="K49" s="158">
        <f>I49+65</f>
        <v>46018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45953</v>
      </c>
      <c r="J50" s="2">
        <v>1</v>
      </c>
      <c r="K50" s="158">
        <f>I50+65</f>
        <v>46018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45953</v>
      </c>
      <c r="J51" s="2">
        <v>1</v>
      </c>
      <c r="K51" s="158">
        <f>I51+65</f>
        <v>46018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7" hidden="1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45973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45973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hidden="1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hidden="1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45953</v>
      </c>
      <c r="J57" s="2">
        <v>1</v>
      </c>
      <c r="K57" s="158">
        <f t="shared" ref="K57:K62" si="5">I57+65</f>
        <v>46018</v>
      </c>
      <c r="L57" s="155">
        <v>402</v>
      </c>
      <c r="M57" s="155">
        <f t="shared" ref="M57:M62" si="6">(L57+H57)*1.3228</f>
        <v>568.80399999999997</v>
      </c>
      <c r="N57" s="3">
        <f t="shared" si="4"/>
        <v>182017.28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45991</v>
      </c>
      <c r="J58" s="2">
        <v>1</v>
      </c>
      <c r="K58" s="158">
        <f t="shared" si="5"/>
        <v>46056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hidden="1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hidden="1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45974</v>
      </c>
      <c r="J62" s="2">
        <v>1</v>
      </c>
      <c r="K62" s="158">
        <f t="shared" si="5"/>
        <v>46039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hidden="1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hidden="1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hidden="1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hidden="1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hidden="1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46049</v>
      </c>
      <c r="L68" s="155">
        <f>M68/1.3228</f>
        <v>417.28000000000003</v>
      </c>
      <c r="M68" s="155">
        <v>551.97798399999999</v>
      </c>
      <c r="N68" s="3">
        <f>M68*E68</f>
        <v>183992.66133333332</v>
      </c>
    </row>
    <row r="69" spans="1:17" hidden="1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 t="shared" ref="Q69:Q80" si="7">E69*P69</f>
        <v>13750</v>
      </c>
    </row>
    <row r="70" spans="1:17" hidden="1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 t="shared" si="7"/>
        <v>32000</v>
      </c>
    </row>
    <row r="71" spans="1:17" hidden="1" x14ac:dyDescent="0.2">
      <c r="A71" s="2">
        <v>2025</v>
      </c>
      <c r="B71" s="2" t="s">
        <v>357</v>
      </c>
      <c r="C71" s="2" t="s">
        <v>89</v>
      </c>
      <c r="D71" s="159" t="s">
        <v>24</v>
      </c>
      <c r="E71" s="213">
        <v>3</v>
      </c>
      <c r="F71" s="2" t="s">
        <v>33</v>
      </c>
      <c r="G71" s="2" t="s">
        <v>37</v>
      </c>
      <c r="H71" s="2">
        <v>0</v>
      </c>
      <c r="I71" s="158">
        <v>45979</v>
      </c>
      <c r="J71" s="2">
        <v>1</v>
      </c>
      <c r="K71" s="158">
        <f>I71</f>
        <v>45979</v>
      </c>
      <c r="L71" s="155"/>
      <c r="M71" s="155"/>
      <c r="N71" s="3"/>
      <c r="P71" s="3">
        <v>2650</v>
      </c>
      <c r="Q71" s="3">
        <f t="shared" si="7"/>
        <v>7950</v>
      </c>
    </row>
    <row r="72" spans="1:17" x14ac:dyDescent="0.2">
      <c r="A72" s="2">
        <v>2025</v>
      </c>
      <c r="B72" s="2" t="s">
        <v>358</v>
      </c>
      <c r="C72" s="2" t="s">
        <v>89</v>
      </c>
      <c r="D72" s="159" t="s">
        <v>24</v>
      </c>
      <c r="E72" s="213">
        <v>12</v>
      </c>
      <c r="F72" s="2" t="s">
        <v>33</v>
      </c>
      <c r="G72" s="2" t="s">
        <v>37</v>
      </c>
      <c r="H72" s="2">
        <v>0</v>
      </c>
      <c r="I72" s="158">
        <v>46023</v>
      </c>
      <c r="J72" s="2">
        <v>1</v>
      </c>
      <c r="K72" s="158">
        <f t="shared" ref="K72:K74" si="8">I72</f>
        <v>46023</v>
      </c>
      <c r="L72" s="155"/>
      <c r="M72" s="155"/>
      <c r="N72" s="3"/>
      <c r="P72" s="3">
        <v>2650</v>
      </c>
      <c r="Q72" s="3">
        <f t="shared" si="7"/>
        <v>31800</v>
      </c>
    </row>
    <row r="73" spans="1:17" hidden="1" x14ac:dyDescent="0.2">
      <c r="A73" s="2">
        <v>2025</v>
      </c>
      <c r="B73" s="2" t="s">
        <v>359</v>
      </c>
      <c r="C73" s="2" t="s">
        <v>89</v>
      </c>
      <c r="D73" s="159" t="s">
        <v>257</v>
      </c>
      <c r="E73" s="213">
        <v>30</v>
      </c>
      <c r="F73" s="2" t="s">
        <v>33</v>
      </c>
      <c r="G73" s="2" t="s">
        <v>35</v>
      </c>
      <c r="H73" s="2">
        <v>0</v>
      </c>
      <c r="I73" s="158">
        <v>45986</v>
      </c>
      <c r="J73" s="2">
        <v>1</v>
      </c>
      <c r="K73" s="158">
        <f t="shared" si="8"/>
        <v>45986</v>
      </c>
      <c r="L73" s="155"/>
      <c r="M73" s="155"/>
      <c r="N73" s="3"/>
      <c r="P73" s="3">
        <v>2650</v>
      </c>
      <c r="Q73" s="3">
        <f t="shared" si="7"/>
        <v>79500</v>
      </c>
    </row>
    <row r="74" spans="1:17" hidden="1" x14ac:dyDescent="0.2">
      <c r="A74" s="2">
        <v>2025</v>
      </c>
      <c r="B74" s="2" t="s">
        <v>360</v>
      </c>
      <c r="C74" s="2" t="s">
        <v>89</v>
      </c>
      <c r="D74" s="159" t="s">
        <v>361</v>
      </c>
      <c r="E74" s="213">
        <v>5</v>
      </c>
      <c r="F74" s="2" t="s">
        <v>27</v>
      </c>
      <c r="G74" s="2" t="s">
        <v>290</v>
      </c>
      <c r="H74" s="2">
        <v>0</v>
      </c>
      <c r="I74" s="158">
        <v>45979</v>
      </c>
      <c r="J74" s="2">
        <v>1</v>
      </c>
      <c r="K74" s="158">
        <f t="shared" si="8"/>
        <v>45979</v>
      </c>
      <c r="L74" s="155"/>
      <c r="M74" s="155"/>
      <c r="N74" s="3"/>
      <c r="P74" s="3">
        <v>2300</v>
      </c>
      <c r="Q74" s="3">
        <f t="shared" si="7"/>
        <v>11500</v>
      </c>
    </row>
    <row r="75" spans="1:17" x14ac:dyDescent="0.2">
      <c r="A75" s="2">
        <v>2025</v>
      </c>
      <c r="B75" s="2" t="s">
        <v>362</v>
      </c>
      <c r="C75" s="2" t="s">
        <v>89</v>
      </c>
      <c r="D75" s="159" t="s">
        <v>364</v>
      </c>
      <c r="E75" s="213">
        <v>161</v>
      </c>
      <c r="F75" s="2" t="s">
        <v>33</v>
      </c>
      <c r="G75" s="2" t="s">
        <v>289</v>
      </c>
      <c r="H75" s="2">
        <v>0</v>
      </c>
      <c r="I75" s="158">
        <v>46014</v>
      </c>
      <c r="J75" s="2">
        <v>1</v>
      </c>
      <c r="K75" s="158">
        <f t="shared" ref="K75:K79" si="9">I75</f>
        <v>46014</v>
      </c>
      <c r="L75" s="155"/>
      <c r="M75" s="155"/>
      <c r="N75" s="3"/>
      <c r="P75" s="3">
        <v>2600</v>
      </c>
      <c r="Q75" s="3">
        <f t="shared" ref="Q75:Q76" si="10">E75*P75</f>
        <v>418600</v>
      </c>
    </row>
    <row r="76" spans="1:17" x14ac:dyDescent="0.2">
      <c r="A76" s="2">
        <v>2025</v>
      </c>
      <c r="B76" s="2" t="s">
        <v>363</v>
      </c>
      <c r="C76" s="2" t="s">
        <v>89</v>
      </c>
      <c r="D76" s="159" t="s">
        <v>364</v>
      </c>
      <c r="E76" s="213">
        <v>75</v>
      </c>
      <c r="F76" s="2" t="s">
        <v>33</v>
      </c>
      <c r="G76" s="2" t="s">
        <v>289</v>
      </c>
      <c r="H76" s="2">
        <v>0</v>
      </c>
      <c r="I76" s="158">
        <v>46014</v>
      </c>
      <c r="J76" s="2">
        <v>1</v>
      </c>
      <c r="K76" s="158">
        <f t="shared" si="9"/>
        <v>46014</v>
      </c>
      <c r="L76" s="155"/>
      <c r="M76" s="155"/>
      <c r="N76" s="3"/>
      <c r="P76" s="3">
        <v>2600</v>
      </c>
      <c r="Q76" s="3">
        <f t="shared" si="10"/>
        <v>195000</v>
      </c>
    </row>
    <row r="77" spans="1:17" x14ac:dyDescent="0.2">
      <c r="A77" s="2">
        <v>2025</v>
      </c>
      <c r="B77" s="2" t="s">
        <v>365</v>
      </c>
      <c r="C77" s="2" t="s">
        <v>89</v>
      </c>
      <c r="D77" s="159" t="s">
        <v>364</v>
      </c>
      <c r="E77" s="213">
        <v>4</v>
      </c>
      <c r="F77" s="2" t="s">
        <v>27</v>
      </c>
      <c r="G77" s="2" t="s">
        <v>32</v>
      </c>
      <c r="H77" s="2">
        <v>0</v>
      </c>
      <c r="I77" s="158">
        <v>46014</v>
      </c>
      <c r="J77" s="2">
        <v>1</v>
      </c>
      <c r="K77" s="158">
        <f t="shared" si="9"/>
        <v>46014</v>
      </c>
      <c r="L77" s="155"/>
      <c r="M77" s="155"/>
      <c r="N77" s="3"/>
      <c r="P77" s="3">
        <v>2600</v>
      </c>
      <c r="Q77" s="3">
        <f t="shared" ref="Q77:Q79" si="11">E77*P77</f>
        <v>10400</v>
      </c>
    </row>
    <row r="78" spans="1:17" x14ac:dyDescent="0.2">
      <c r="A78" s="2">
        <v>2025</v>
      </c>
      <c r="B78" s="2" t="s">
        <v>366</v>
      </c>
      <c r="C78" s="2" t="s">
        <v>89</v>
      </c>
      <c r="D78" s="159" t="s">
        <v>364</v>
      </c>
      <c r="E78" s="213">
        <v>10</v>
      </c>
      <c r="F78" s="2" t="s">
        <v>27</v>
      </c>
      <c r="G78" s="2" t="s">
        <v>32</v>
      </c>
      <c r="H78" s="2">
        <v>0</v>
      </c>
      <c r="I78" s="158">
        <v>46014</v>
      </c>
      <c r="J78" s="2">
        <v>1</v>
      </c>
      <c r="K78" s="158">
        <f t="shared" si="9"/>
        <v>46014</v>
      </c>
      <c r="L78" s="155"/>
      <c r="M78" s="155"/>
      <c r="N78" s="3"/>
      <c r="P78" s="3">
        <v>2600</v>
      </c>
      <c r="Q78" s="3">
        <f t="shared" si="11"/>
        <v>26000</v>
      </c>
    </row>
    <row r="79" spans="1:17" x14ac:dyDescent="0.2">
      <c r="A79" s="2">
        <v>2025</v>
      </c>
      <c r="B79" s="2" t="s">
        <v>367</v>
      </c>
      <c r="C79" s="2" t="s">
        <v>89</v>
      </c>
      <c r="D79" s="159" t="s">
        <v>364</v>
      </c>
      <c r="E79" s="213">
        <v>10</v>
      </c>
      <c r="F79" s="2" t="s">
        <v>27</v>
      </c>
      <c r="G79" s="2" t="s">
        <v>32</v>
      </c>
      <c r="H79" s="2">
        <v>0</v>
      </c>
      <c r="I79" s="158">
        <v>46014</v>
      </c>
      <c r="J79" s="2">
        <v>1</v>
      </c>
      <c r="K79" s="158">
        <f t="shared" si="9"/>
        <v>46014</v>
      </c>
      <c r="L79" s="155"/>
      <c r="M79" s="155"/>
      <c r="N79" s="3"/>
      <c r="P79" s="3">
        <v>2600</v>
      </c>
      <c r="Q79" s="3">
        <f t="shared" si="11"/>
        <v>26000</v>
      </c>
    </row>
    <row r="80" spans="1:17" x14ac:dyDescent="0.2">
      <c r="A80" s="2">
        <v>2025</v>
      </c>
      <c r="C80" s="2" t="s">
        <v>89</v>
      </c>
      <c r="D80" s="159" t="s">
        <v>331</v>
      </c>
      <c r="E80" s="213">
        <f>2400-E66-E65-E67-E69-E70-E71-E72-E73-E74-E75-E76-E77-E78-E79</f>
        <v>2040</v>
      </c>
      <c r="F80" s="2" t="s">
        <v>32</v>
      </c>
      <c r="G80" s="2" t="s">
        <v>32</v>
      </c>
      <c r="H80" s="2">
        <v>0</v>
      </c>
      <c r="I80" s="158">
        <v>46023</v>
      </c>
      <c r="J80" s="2">
        <v>4</v>
      </c>
      <c r="K80" s="158">
        <v>46023</v>
      </c>
      <c r="L80" s="158"/>
      <c r="N80" s="3"/>
      <c r="P80" s="3">
        <v>1600</v>
      </c>
      <c r="Q80" s="3">
        <f t="shared" si="7"/>
        <v>3264000</v>
      </c>
    </row>
    <row r="81" spans="1:14" x14ac:dyDescent="0.2">
      <c r="A81" s="2">
        <v>2025</v>
      </c>
      <c r="C81" s="2" t="s">
        <v>42</v>
      </c>
      <c r="D81" s="159" t="s">
        <v>331</v>
      </c>
      <c r="E81" s="2">
        <f>0.7*8000-4800-E82-E83-E68</f>
        <v>286.49999999999994</v>
      </c>
      <c r="F81" s="2" t="s">
        <v>32</v>
      </c>
      <c r="G81" s="2" t="s">
        <v>32</v>
      </c>
      <c r="H81" s="2">
        <v>0</v>
      </c>
      <c r="I81" s="158">
        <v>46023</v>
      </c>
      <c r="J81" s="2">
        <v>4</v>
      </c>
      <c r="K81" s="158">
        <v>46023</v>
      </c>
      <c r="L81" s="155">
        <v>325</v>
      </c>
      <c r="M81" s="155">
        <f>(L81+H81)*1.3228</f>
        <v>429.90999999999997</v>
      </c>
      <c r="N81" s="3">
        <f>M81*E81</f>
        <v>123169.21499999997</v>
      </c>
    </row>
    <row r="82" spans="1:14" x14ac:dyDescent="0.2">
      <c r="A82" s="2">
        <v>2025</v>
      </c>
      <c r="C82" s="2" t="s">
        <v>42</v>
      </c>
      <c r="D82" s="159" t="s">
        <v>331</v>
      </c>
      <c r="E82" s="2">
        <v>64.5</v>
      </c>
      <c r="F82" s="2" t="s">
        <v>32</v>
      </c>
      <c r="G82" s="2" t="s">
        <v>32</v>
      </c>
      <c r="H82" s="2">
        <v>0</v>
      </c>
      <c r="I82" s="158">
        <v>46023</v>
      </c>
      <c r="J82" s="2">
        <v>1</v>
      </c>
      <c r="K82" s="158">
        <v>46023</v>
      </c>
      <c r="L82" s="155">
        <v>330</v>
      </c>
      <c r="M82" s="155">
        <f>(L82+H82)*1.3228</f>
        <v>436.524</v>
      </c>
      <c r="N82" s="3">
        <f>M82*E82</f>
        <v>28155.797999999999</v>
      </c>
    </row>
    <row r="83" spans="1:14" hidden="1" x14ac:dyDescent="0.2">
      <c r="A83" s="2">
        <v>2025</v>
      </c>
      <c r="C83" s="2" t="s">
        <v>42</v>
      </c>
      <c r="D83" s="159" t="s">
        <v>331</v>
      </c>
      <c r="E83" s="213">
        <f>449-E68</f>
        <v>115.66666666666669</v>
      </c>
      <c r="F83" s="2" t="s">
        <v>32</v>
      </c>
      <c r="G83" s="2" t="s">
        <v>32</v>
      </c>
      <c r="H83" s="2">
        <v>0</v>
      </c>
      <c r="I83" s="158">
        <v>46082</v>
      </c>
      <c r="J83" s="2">
        <v>1</v>
      </c>
      <c r="K83" s="158">
        <v>46082</v>
      </c>
      <c r="L83" s="155">
        <v>325</v>
      </c>
      <c r="M83" s="155">
        <f>(L83+H83)*1.3228</f>
        <v>429.90999999999997</v>
      </c>
      <c r="N83" s="3">
        <f>M83*E83</f>
        <v>49726.256666666668</v>
      </c>
    </row>
  </sheetData>
  <autoFilter ref="A1:Q83" xr:uid="{E433115D-D1E6-C943-B0EC-2BC4BD1B44BA}">
    <filterColumn colId="10">
      <filters>
        <dateGroupItem year="2026" month="1" dateTimeGrouping="month"/>
        <dateGroupItem year="2026" month="2" dateTimeGrouping="month"/>
        <dateGroupItem year="2025" month="12" dateTimeGrouping="month"/>
      </filters>
    </filterColumn>
    <sortState xmlns:xlrd2="http://schemas.microsoft.com/office/spreadsheetml/2017/richdata2" ref="A2:Q83">
      <sortCondition ref="B1:B83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 Q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3"/>
  <sheetViews>
    <sheetView tabSelected="1" workbookViewId="0">
      <selection activeCell="B14" sqref="B14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46017</v>
      </c>
    </row>
    <row r="2" spans="1:4" x14ac:dyDescent="0.2">
      <c r="A2" s="158">
        <v>46021</v>
      </c>
      <c r="B2" s="155">
        <v>351.9</v>
      </c>
      <c r="C2" s="155">
        <f t="shared" ref="C2:C11" si="0">B2*1.3228</f>
        <v>465.49331999999998</v>
      </c>
    </row>
    <row r="3" spans="1:4" x14ac:dyDescent="0.2">
      <c r="A3" s="158">
        <v>46112</v>
      </c>
      <c r="B3" s="155">
        <v>345.15</v>
      </c>
      <c r="C3" s="155">
        <f t="shared" si="0"/>
        <v>456.56441999999998</v>
      </c>
    </row>
    <row r="4" spans="1:4" x14ac:dyDescent="0.2">
      <c r="A4" s="158">
        <v>46173</v>
      </c>
      <c r="B4" s="155">
        <v>330.85</v>
      </c>
      <c r="C4" s="155">
        <f t="shared" si="0"/>
        <v>437.64838000000003</v>
      </c>
    </row>
    <row r="5" spans="1:4" x14ac:dyDescent="0.2">
      <c r="A5" s="158">
        <v>46231</v>
      </c>
      <c r="B5" s="155">
        <v>322.7</v>
      </c>
      <c r="C5" s="155">
        <f t="shared" si="0"/>
        <v>426.86755999999997</v>
      </c>
    </row>
    <row r="6" spans="1:4" x14ac:dyDescent="0.2">
      <c r="A6" s="158">
        <v>46295</v>
      </c>
      <c r="B6" s="155">
        <v>316.2</v>
      </c>
      <c r="C6" s="155">
        <f t="shared" si="0"/>
        <v>418.26935999999995</v>
      </c>
    </row>
    <row r="7" spans="1:4" x14ac:dyDescent="0.2">
      <c r="A7" s="158">
        <v>46386</v>
      </c>
      <c r="B7" s="155">
        <v>310.85000000000002</v>
      </c>
      <c r="C7" s="155">
        <f t="shared" si="0"/>
        <v>411.19238000000001</v>
      </c>
    </row>
    <row r="8" spans="1:4" x14ac:dyDescent="0.2">
      <c r="A8" s="158">
        <v>46477</v>
      </c>
      <c r="B8" s="155">
        <v>307.55</v>
      </c>
      <c r="C8" s="155">
        <f t="shared" si="0"/>
        <v>406.82713999999999</v>
      </c>
    </row>
    <row r="9" spans="1:4" x14ac:dyDescent="0.2">
      <c r="A9" s="158">
        <v>46538</v>
      </c>
      <c r="B9" s="155">
        <v>304.55</v>
      </c>
      <c r="C9" s="155">
        <f t="shared" si="0"/>
        <v>402.85874000000001</v>
      </c>
    </row>
    <row r="10" spans="1:4" x14ac:dyDescent="0.2">
      <c r="A10" s="158">
        <v>46596</v>
      </c>
      <c r="B10" s="155">
        <v>300.7</v>
      </c>
      <c r="C10" s="155">
        <f t="shared" si="0"/>
        <v>397.76595999999995</v>
      </c>
    </row>
    <row r="11" spans="1:4" x14ac:dyDescent="0.2">
      <c r="A11" s="158">
        <v>46660</v>
      </c>
      <c r="B11" s="155">
        <v>296.64999999999998</v>
      </c>
      <c r="C11" s="155">
        <f t="shared" si="0"/>
        <v>392.40861999999998</v>
      </c>
    </row>
    <row r="12" spans="1:4" x14ac:dyDescent="0.2">
      <c r="A12" s="158">
        <v>46751</v>
      </c>
      <c r="B12" s="155">
        <v>292.39999999999998</v>
      </c>
      <c r="C12" s="155">
        <f>B12*1.3228</f>
        <v>386.78671999999995</v>
      </c>
    </row>
    <row r="13" spans="1:4" x14ac:dyDescent="0.2">
      <c r="A13" s="158">
        <v>46843</v>
      </c>
      <c r="B13" s="155">
        <v>288.95</v>
      </c>
      <c r="C13" s="155">
        <f>B13*1.3228</f>
        <v>382.22305999999998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31"/>
  <sheetViews>
    <sheetView topLeftCell="D1" workbookViewId="0">
      <pane ySplit="1" topLeftCell="A4" activePane="bottomLeft" state="frozen"/>
      <selection pane="bottomLeft" activeCell="H22" sqref="H22:H31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7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M2*L2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7" si="2">D3*(G3-H3)*1.3228</f>
        <v>-10387.882259999997</v>
      </c>
      <c r="M3" s="160">
        <v>5.4650999999999996</v>
      </c>
      <c r="N3" s="215">
        <f t="shared" ref="N3:N18" si="3">M3*L3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>N4/M4</f>
        <v>-432777.9808400122</v>
      </c>
      <c r="M4" s="160">
        <v>5.7694000000000001</v>
      </c>
      <c r="N4" s="215">
        <v>-2496869.2826583665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>N5/M5</f>
        <v>-855160.98786707607</v>
      </c>
      <c r="M5" s="160">
        <v>5.7694000000000001</v>
      </c>
      <c r="N5" s="215">
        <v>-4933765.8034003088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 t="shared" si="3"/>
        <v>-331022.26474607555</v>
      </c>
    </row>
    <row r="15" spans="1:14" x14ac:dyDescent="0.2">
      <c r="A15" s="1" t="s">
        <v>295</v>
      </c>
      <c r="B15" s="1" t="s">
        <v>325</v>
      </c>
      <c r="C15" s="2">
        <f>C18</f>
        <v>47616</v>
      </c>
      <c r="D15" s="213">
        <f t="shared" ref="D15" si="4">283.5*F15</f>
        <v>1417.5</v>
      </c>
      <c r="E15" s="213"/>
      <c r="F15" s="155">
        <v>5</v>
      </c>
      <c r="G15" s="155">
        <f>G18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si="3"/>
        <v>-592583.79378114012</v>
      </c>
    </row>
    <row r="16" spans="1:14" x14ac:dyDescent="0.2">
      <c r="A16" s="1" t="s">
        <v>296</v>
      </c>
      <c r="B16" s="1" t="s">
        <v>325</v>
      </c>
      <c r="C16" s="2">
        <v>29487615</v>
      </c>
      <c r="D16" s="213">
        <f>283.5*F16</f>
        <v>283.5</v>
      </c>
      <c r="E16" s="213" t="s">
        <v>344</v>
      </c>
      <c r="F16" s="155">
        <v>1</v>
      </c>
      <c r="G16" s="155">
        <v>330</v>
      </c>
      <c r="H16" s="155">
        <v>298.60000000000002</v>
      </c>
      <c r="I16" s="2"/>
      <c r="J16" s="162">
        <v>45973</v>
      </c>
      <c r="K16" s="162">
        <v>45868</v>
      </c>
      <c r="L16" s="215">
        <f>D16*(G16-H16)*1.3228</f>
        <v>11775.433319999993</v>
      </c>
      <c r="M16" s="160">
        <f>N16/L16</f>
        <v>5.3660513615816594</v>
      </c>
      <c r="N16" s="215">
        <f>63187.58</f>
        <v>63187.58</v>
      </c>
    </row>
    <row r="17" spans="1:14" x14ac:dyDescent="0.2">
      <c r="A17" s="1" t="s">
        <v>295</v>
      </c>
      <c r="B17" s="1" t="s">
        <v>325</v>
      </c>
      <c r="C17" s="2">
        <v>25852</v>
      </c>
      <c r="D17" s="213">
        <f t="shared" si="0"/>
        <v>5017.95</v>
      </c>
      <c r="E17" s="213"/>
      <c r="F17" s="155">
        <v>17.7</v>
      </c>
      <c r="G17" s="155">
        <v>179</v>
      </c>
      <c r="H17" s="155">
        <v>434</v>
      </c>
      <c r="I17" s="221"/>
      <c r="J17" s="162">
        <v>45973</v>
      </c>
      <c r="K17" s="162">
        <v>45953</v>
      </c>
      <c r="L17" s="215">
        <f t="shared" si="2"/>
        <v>-1692624.7863</v>
      </c>
      <c r="M17" s="160">
        <v>5.3811</v>
      </c>
      <c r="N17" s="215">
        <f t="shared" si="3"/>
        <v>-9108183.2375589311</v>
      </c>
    </row>
    <row r="18" spans="1:14" x14ac:dyDescent="0.2">
      <c r="A18" s="1" t="s">
        <v>295</v>
      </c>
      <c r="B18" s="1" t="s">
        <v>325</v>
      </c>
      <c r="C18" s="2">
        <v>47616</v>
      </c>
      <c r="D18" s="213">
        <f>283.5*F18</f>
        <v>1587.6</v>
      </c>
      <c r="E18" s="213"/>
      <c r="F18" s="155">
        <f>10.6-5</f>
        <v>5.6</v>
      </c>
      <c r="G18" s="155">
        <v>222.2</v>
      </c>
      <c r="H18" s="155">
        <v>434</v>
      </c>
      <c r="I18" s="221"/>
      <c r="J18" s="162">
        <v>45980</v>
      </c>
      <c r="K18" s="162">
        <v>45953</v>
      </c>
      <c r="L18" s="215">
        <f>D18*(G18-H18)*1.3228</f>
        <v>-444796.36790399998</v>
      </c>
      <c r="M18" s="160">
        <v>5.3811</v>
      </c>
      <c r="N18" s="215">
        <f t="shared" si="3"/>
        <v>-2393493.7353282142</v>
      </c>
    </row>
    <row r="19" spans="1:14" x14ac:dyDescent="0.2">
      <c r="A19" s="1" t="s">
        <v>296</v>
      </c>
      <c r="B19" s="1" t="s">
        <v>325</v>
      </c>
      <c r="C19" s="2">
        <v>507931308</v>
      </c>
      <c r="D19" s="213">
        <f t="shared" si="0"/>
        <v>1984.5</v>
      </c>
      <c r="E19" s="213"/>
      <c r="F19" s="155">
        <f>262500/37500</f>
        <v>7</v>
      </c>
      <c r="G19" s="155">
        <v>196.1</v>
      </c>
      <c r="H19" s="155">
        <v>404.2</v>
      </c>
      <c r="I19" s="2"/>
      <c r="J19" s="162">
        <v>45973</v>
      </c>
      <c r="K19" s="162">
        <v>45973</v>
      </c>
      <c r="L19" s="215">
        <f t="shared" si="2"/>
        <v>-546282.60245999997</v>
      </c>
      <c r="M19" s="160">
        <v>5.3754999999999997</v>
      </c>
      <c r="N19" s="215">
        <v>-2923513.53</v>
      </c>
    </row>
    <row r="20" spans="1:14" x14ac:dyDescent="0.2">
      <c r="A20" s="1" t="s">
        <v>296</v>
      </c>
      <c r="B20" s="1" t="s">
        <v>325</v>
      </c>
      <c r="C20" s="2">
        <v>29487615</v>
      </c>
      <c r="D20" s="213">
        <f t="shared" si="0"/>
        <v>1701</v>
      </c>
      <c r="E20" s="213" t="s">
        <v>344</v>
      </c>
      <c r="F20" s="155">
        <v>6</v>
      </c>
      <c r="G20" s="155">
        <v>330</v>
      </c>
      <c r="H20" s="155">
        <v>403.65</v>
      </c>
      <c r="I20" s="2"/>
      <c r="J20" s="162">
        <v>45973</v>
      </c>
      <c r="K20" s="162">
        <v>45973</v>
      </c>
      <c r="L20" s="215">
        <f t="shared" si="2"/>
        <v>-165718.59821999996</v>
      </c>
      <c r="M20" s="160">
        <v>5.2885</v>
      </c>
      <c r="N20" s="215">
        <v>-876370.55</v>
      </c>
    </row>
    <row r="21" spans="1:14" x14ac:dyDescent="0.2">
      <c r="A21" s="209" t="s">
        <v>296</v>
      </c>
      <c r="B21" s="209" t="s">
        <v>325</v>
      </c>
      <c r="C21" s="208">
        <v>29487625</v>
      </c>
      <c r="D21" s="216">
        <f t="shared" si="0"/>
        <v>283.5</v>
      </c>
      <c r="E21" s="216"/>
      <c r="F21" s="217">
        <v>1</v>
      </c>
      <c r="G21" s="217">
        <v>325</v>
      </c>
      <c r="H21" s="217">
        <v>384.6</v>
      </c>
      <c r="I21" s="208"/>
      <c r="J21" s="219">
        <v>46063</v>
      </c>
      <c r="K21" s="219">
        <v>45979</v>
      </c>
      <c r="L21" s="220">
        <f t="shared" si="2"/>
        <v>-22350.822480000006</v>
      </c>
      <c r="M21" s="218">
        <v>5.2641852489000645</v>
      </c>
      <c r="N21" s="220">
        <v>-117658.87</v>
      </c>
    </row>
    <row r="22" spans="1:14" x14ac:dyDescent="0.2">
      <c r="A22" s="222" t="s">
        <v>296</v>
      </c>
      <c r="B22" s="222" t="s">
        <v>329</v>
      </c>
      <c r="C22" s="223">
        <v>29487625</v>
      </c>
      <c r="D22" s="224">
        <f t="shared" si="0"/>
        <v>1701</v>
      </c>
      <c r="E22" s="224" t="s">
        <v>345</v>
      </c>
      <c r="F22" s="225">
        <v>6</v>
      </c>
      <c r="G22" s="225">
        <v>325</v>
      </c>
      <c r="H22" s="225">
        <f>futuros!B3</f>
        <v>345.15</v>
      </c>
      <c r="I22" s="223"/>
      <c r="J22" s="226">
        <v>46063</v>
      </c>
      <c r="K22" s="226"/>
      <c r="L22" s="227">
        <f t="shared" si="2"/>
        <v>-45339.168419999944</v>
      </c>
      <c r="M22" s="228"/>
      <c r="N22" s="227"/>
    </row>
    <row r="23" spans="1:14" x14ac:dyDescent="0.2">
      <c r="A23" s="1" t="s">
        <v>296</v>
      </c>
      <c r="B23" s="1" t="s">
        <v>330</v>
      </c>
      <c r="C23" s="2">
        <v>28133721</v>
      </c>
      <c r="D23" s="213">
        <f t="shared" si="0"/>
        <v>2551.5</v>
      </c>
      <c r="E23" s="213"/>
      <c r="F23" s="155">
        <f>337500/37500</f>
        <v>9</v>
      </c>
      <c r="G23" s="155">
        <v>300.8</v>
      </c>
      <c r="H23" s="155">
        <f>futuros!B7</f>
        <v>310.85000000000002</v>
      </c>
      <c r="I23" s="2"/>
      <c r="J23" s="162">
        <v>46345</v>
      </c>
      <c r="K23" s="162"/>
      <c r="L23" s="215">
        <f t="shared" si="2"/>
        <v>-33919.998210000042</v>
      </c>
      <c r="M23" s="160"/>
      <c r="N23" s="215"/>
    </row>
    <row r="24" spans="1:14" x14ac:dyDescent="0.2">
      <c r="A24" s="1" t="s">
        <v>296</v>
      </c>
      <c r="B24" s="1" t="s">
        <v>330</v>
      </c>
      <c r="C24" s="2">
        <v>28594897</v>
      </c>
      <c r="D24" s="213">
        <f t="shared" si="0"/>
        <v>2268</v>
      </c>
      <c r="E24" s="213"/>
      <c r="F24" s="155">
        <v>8</v>
      </c>
      <c r="G24" s="155">
        <v>322.39999999999998</v>
      </c>
      <c r="H24" s="155">
        <f>futuros!B7</f>
        <v>310.85000000000002</v>
      </c>
      <c r="I24" s="2"/>
      <c r="J24" s="162">
        <v>46345</v>
      </c>
      <c r="K24" s="162"/>
      <c r="L24" s="215">
        <f t="shared" si="2"/>
        <v>34651.27511999986</v>
      </c>
      <c r="M24" s="160"/>
      <c r="N24" s="215"/>
    </row>
    <row r="25" spans="1:14" x14ac:dyDescent="0.2">
      <c r="A25" s="1" t="s">
        <v>296</v>
      </c>
      <c r="B25" s="1" t="s">
        <v>330</v>
      </c>
      <c r="C25" s="2">
        <v>29340843</v>
      </c>
      <c r="D25" s="213">
        <f t="shared" si="0"/>
        <v>2268</v>
      </c>
      <c r="E25" s="213"/>
      <c r="F25" s="155">
        <v>8</v>
      </c>
      <c r="G25" s="155">
        <v>307.2</v>
      </c>
      <c r="H25" s="155">
        <f>futuros!B7</f>
        <v>310.85000000000002</v>
      </c>
      <c r="I25" s="2"/>
      <c r="J25" s="162">
        <v>46345</v>
      </c>
      <c r="K25" s="162"/>
      <c r="L25" s="215">
        <f t="shared" si="2"/>
        <v>-10950.402960000101</v>
      </c>
      <c r="M25" s="160"/>
      <c r="N25" s="215"/>
    </row>
    <row r="26" spans="1:14" x14ac:dyDescent="0.2">
      <c r="A26" s="209" t="s">
        <v>296</v>
      </c>
      <c r="B26" s="209" t="s">
        <v>330</v>
      </c>
      <c r="C26" s="208">
        <v>29487626</v>
      </c>
      <c r="D26" s="216">
        <f t="shared" si="0"/>
        <v>7938</v>
      </c>
      <c r="E26" s="216"/>
      <c r="F26" s="217">
        <f>1050000/37500</f>
        <v>28</v>
      </c>
      <c r="G26" s="217">
        <v>288</v>
      </c>
      <c r="H26" s="217">
        <f>futuros!B7</f>
        <v>310.85000000000002</v>
      </c>
      <c r="I26" s="208"/>
      <c r="J26" s="219">
        <v>46345</v>
      </c>
      <c r="K26" s="219"/>
      <c r="L26" s="220">
        <f t="shared" si="2"/>
        <v>-239933.82924000025</v>
      </c>
      <c r="M26" s="218"/>
      <c r="N26" s="220"/>
    </row>
    <row r="27" spans="1:14" x14ac:dyDescent="0.2">
      <c r="A27" s="1" t="s">
        <v>296</v>
      </c>
      <c r="B27" s="1" t="s">
        <v>330</v>
      </c>
      <c r="C27" s="2">
        <v>29575268</v>
      </c>
      <c r="D27" s="213">
        <f t="shared" si="0"/>
        <v>3118.5</v>
      </c>
      <c r="E27" s="213"/>
      <c r="F27" s="155">
        <f>412500/37500</f>
        <v>11</v>
      </c>
      <c r="G27" s="155">
        <v>249</v>
      </c>
      <c r="H27" s="155">
        <f>futuros!B12</f>
        <v>292.39999999999998</v>
      </c>
      <c r="I27" s="2"/>
      <c r="J27" s="162">
        <v>46710</v>
      </c>
      <c r="K27" s="162"/>
      <c r="L27" s="215">
        <f t="shared" si="2"/>
        <v>-179031.58811999991</v>
      </c>
      <c r="M27" s="160"/>
      <c r="N27" s="215"/>
    </row>
    <row r="28" spans="1:14" x14ac:dyDescent="0.2">
      <c r="A28" s="1" t="s">
        <v>296</v>
      </c>
      <c r="B28" s="1" t="s">
        <v>330</v>
      </c>
      <c r="C28" s="2"/>
      <c r="D28" s="213">
        <f t="shared" ref="D28" si="6">283.5*F28</f>
        <v>2268</v>
      </c>
      <c r="E28" s="213"/>
      <c r="F28" s="155">
        <v>8</v>
      </c>
      <c r="G28" s="155">
        <v>235</v>
      </c>
      <c r="H28" s="155">
        <f>futuros!B12</f>
        <v>292.39999999999998</v>
      </c>
      <c r="I28" s="2"/>
      <c r="J28" s="162">
        <v>46710</v>
      </c>
      <c r="K28" s="162"/>
      <c r="L28" s="215">
        <f t="shared" ref="L28" si="7">D28*(G28-H28)*1.3228</f>
        <v>-172206.33695999993</v>
      </c>
      <c r="M28" s="160"/>
      <c r="N28" s="215"/>
    </row>
    <row r="29" spans="1:14" x14ac:dyDescent="0.2">
      <c r="A29" s="1" t="s">
        <v>296</v>
      </c>
      <c r="B29" s="1" t="s">
        <v>330</v>
      </c>
      <c r="C29" s="2"/>
      <c r="D29" s="213">
        <f t="shared" ref="D29" si="8">283.5*F29</f>
        <v>1417.5</v>
      </c>
      <c r="E29" s="213"/>
      <c r="F29" s="155">
        <v>5</v>
      </c>
      <c r="G29" s="155">
        <v>251</v>
      </c>
      <c r="H29" s="155">
        <f>futuros!B12</f>
        <v>292.39999999999998</v>
      </c>
      <c r="I29" s="2"/>
      <c r="J29" s="162">
        <v>46710</v>
      </c>
      <c r="K29" s="162"/>
      <c r="L29" s="215">
        <f t="shared" ref="L29" si="9">D29*(G29-H29)*1.3228</f>
        <v>-77627.856599999956</v>
      </c>
    </row>
    <row r="30" spans="1:14" x14ac:dyDescent="0.2">
      <c r="A30" s="1" t="s">
        <v>296</v>
      </c>
      <c r="B30" s="1" t="s">
        <v>330</v>
      </c>
      <c r="C30" s="2"/>
      <c r="D30" s="213">
        <f t="shared" ref="D30" si="10">283.5*F30</f>
        <v>1417.5</v>
      </c>
      <c r="E30" s="213"/>
      <c r="F30" s="155">
        <v>5</v>
      </c>
      <c r="G30" s="155">
        <v>263</v>
      </c>
      <c r="H30" s="155">
        <f>futuros!B12</f>
        <v>292.39999999999998</v>
      </c>
      <c r="I30" s="2"/>
      <c r="J30" s="162">
        <v>46710</v>
      </c>
      <c r="K30" s="162"/>
      <c r="L30" s="215">
        <f t="shared" ref="L30" si="11">D30*(G30-H30)*1.3228</f>
        <v>-55127.028599999961</v>
      </c>
    </row>
    <row r="31" spans="1:14" x14ac:dyDescent="0.2">
      <c r="A31" s="1" t="s">
        <v>296</v>
      </c>
      <c r="B31" s="1" t="s">
        <v>330</v>
      </c>
      <c r="C31" s="2"/>
      <c r="D31" s="213">
        <f t="shared" ref="D31" si="12">283.5*F31</f>
        <v>1984.5</v>
      </c>
      <c r="E31" s="213"/>
      <c r="F31" s="155">
        <v>7</v>
      </c>
      <c r="G31" s="155">
        <v>305</v>
      </c>
      <c r="H31" s="155">
        <f>futuros!B12</f>
        <v>292.39999999999998</v>
      </c>
      <c r="I31" s="2"/>
      <c r="J31" s="162">
        <v>46710</v>
      </c>
      <c r="K31" s="162"/>
      <c r="L31" s="215">
        <f t="shared" ref="L31" si="13">D31*(G31-H31)*1.3228</f>
        <v>33076.217160000058</v>
      </c>
    </row>
  </sheetData>
  <pageMargins left="0.7" right="0.7" top="0.75" bottom="0.75" header="0.3" footer="0.3"/>
  <ignoredErrors>
    <ignoredError sqref="E7:E13" numberStoredAsText="1"/>
    <ignoredError sqref="N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9" t="s">
        <v>112</v>
      </c>
      <c r="O3" s="229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0"/>
      <c r="O74" s="230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1"/>
      <c r="C9" s="232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3" t="s">
        <v>74</v>
      </c>
      <c r="D43" s="233"/>
    </row>
    <row r="44" spans="2:15" x14ac:dyDescent="0.2">
      <c r="B44" s="42"/>
      <c r="C44" t="s">
        <v>75</v>
      </c>
    </row>
    <row r="45" spans="2:15" x14ac:dyDescent="0.2">
      <c r="B45" s="43"/>
      <c r="C45" s="233" t="s">
        <v>76</v>
      </c>
      <c r="D45" s="233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2025-12-29T12:22:58Z</dcterms:modified>
</cp:coreProperties>
</file>